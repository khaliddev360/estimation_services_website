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0" yWindow="0" windowWidth="21600" windowHeight="9795"/>
  </bookViews>
  <sheets>
    <sheet name="DETAIL" sheetId="11" r:id="rId1"/>
    <sheet name="Sheet1" sheetId="12" r:id="rId2"/>
  </sheets>
  <definedNames>
    <definedName name="_xlnm._FilterDatabase" localSheetId="0" hidden="1">DETAIL!$A$1:$A$117</definedName>
    <definedName name="_xlnm.Print_Area" localSheetId="0">DETAIL!$A$1:$O$77</definedName>
    <definedName name="_xlnm.Print_Titles" localSheetId="0">DETAIL!$8:$8</definedName>
  </definedNames>
  <calcPr calcId="144525"/>
</workbook>
</file>

<file path=xl/calcChain.xml><?xml version="1.0" encoding="utf-8"?>
<calcChain xmlns="http://schemas.openxmlformats.org/spreadsheetml/2006/main">
  <c r="O72" i="11" l="1"/>
  <c r="N72" i="11"/>
  <c r="O71" i="11"/>
  <c r="N71" i="11"/>
  <c r="O70" i="11"/>
  <c r="N70" i="11"/>
  <c r="O69" i="11"/>
  <c r="N69" i="11"/>
  <c r="M69" i="11"/>
  <c r="K69" i="11"/>
  <c r="A68" i="11"/>
  <c r="N67" i="11"/>
  <c r="M67" i="11"/>
  <c r="K67" i="11"/>
  <c r="H67" i="11"/>
  <c r="A67" i="11"/>
  <c r="N66" i="11"/>
  <c r="M66" i="11"/>
  <c r="K66" i="11"/>
  <c r="H66" i="11"/>
  <c r="A66" i="11"/>
  <c r="N65" i="11"/>
  <c r="M65" i="11"/>
  <c r="K65" i="11"/>
  <c r="H65" i="11"/>
  <c r="A65" i="11"/>
  <c r="N64" i="11"/>
  <c r="M64" i="11"/>
  <c r="K64" i="11"/>
  <c r="H64" i="11"/>
  <c r="A64" i="11"/>
  <c r="N63" i="11"/>
  <c r="M63" i="11"/>
  <c r="K63" i="11"/>
  <c r="H63" i="11"/>
  <c r="A63" i="11"/>
  <c r="N62" i="11"/>
  <c r="M62" i="11"/>
  <c r="K62" i="11"/>
  <c r="H62" i="11"/>
  <c r="A62" i="11"/>
  <c r="N61" i="11"/>
  <c r="M61" i="11"/>
  <c r="K61" i="11"/>
  <c r="H61" i="11"/>
  <c r="A61" i="11"/>
  <c r="N60" i="11"/>
  <c r="M60" i="11"/>
  <c r="K60" i="11"/>
  <c r="H60" i="11"/>
  <c r="A60" i="11"/>
  <c r="N59" i="11"/>
  <c r="M59" i="11"/>
  <c r="K59" i="11"/>
  <c r="H59" i="11"/>
  <c r="A59" i="11"/>
  <c r="A58" i="11"/>
  <c r="A57" i="11"/>
  <c r="A56" i="11"/>
  <c r="N55" i="11"/>
  <c r="M55" i="11"/>
  <c r="K55" i="11"/>
  <c r="H55" i="11"/>
  <c r="A55" i="11"/>
  <c r="N54" i="11"/>
  <c r="M54" i="11"/>
  <c r="K54" i="11"/>
  <c r="H54" i="11"/>
  <c r="A54" i="11"/>
  <c r="N53" i="11"/>
  <c r="M53" i="11"/>
  <c r="K53" i="11"/>
  <c r="H53" i="11"/>
  <c r="A53" i="11"/>
  <c r="N52" i="11"/>
  <c r="M52" i="11"/>
  <c r="K52" i="11"/>
  <c r="H52" i="11"/>
  <c r="A52" i="11"/>
  <c r="N51" i="11"/>
  <c r="M51" i="11"/>
  <c r="K51" i="11"/>
  <c r="H51" i="11"/>
  <c r="A51" i="11"/>
  <c r="N50" i="11"/>
  <c r="M50" i="11"/>
  <c r="K50" i="11"/>
  <c r="H50" i="11"/>
  <c r="A50" i="11"/>
  <c r="N49" i="11"/>
  <c r="M49" i="11"/>
  <c r="K49" i="11"/>
  <c r="H49" i="11"/>
  <c r="A49" i="11"/>
  <c r="N48" i="11"/>
  <c r="M48" i="11"/>
  <c r="K48" i="11"/>
  <c r="H48" i="11"/>
  <c r="A48" i="11"/>
  <c r="A47" i="11"/>
  <c r="A46" i="11"/>
  <c r="A45" i="11"/>
  <c r="N44" i="11"/>
  <c r="M44" i="11"/>
  <c r="K44" i="11"/>
  <c r="H44" i="11"/>
  <c r="A44" i="11"/>
  <c r="N43" i="11"/>
  <c r="M43" i="11"/>
  <c r="K43" i="11"/>
  <c r="H43" i="11"/>
  <c r="A43" i="11"/>
  <c r="N42" i="11"/>
  <c r="M42" i="11"/>
  <c r="K42" i="11"/>
  <c r="H42" i="11"/>
  <c r="A42" i="11"/>
  <c r="N41" i="11"/>
  <c r="M41" i="11"/>
  <c r="K41" i="11"/>
  <c r="H41" i="11"/>
  <c r="A41" i="11"/>
  <c r="N40" i="11"/>
  <c r="M40" i="11"/>
  <c r="K40" i="11"/>
  <c r="H40" i="11"/>
  <c r="A40" i="11"/>
  <c r="N39" i="11"/>
  <c r="M39" i="11"/>
  <c r="K39" i="11"/>
  <c r="H39" i="11"/>
  <c r="A39" i="11"/>
  <c r="A38" i="11"/>
  <c r="A37" i="11"/>
  <c r="A36" i="11"/>
  <c r="N35" i="11"/>
  <c r="M35" i="11"/>
  <c r="L35" i="11"/>
  <c r="K35" i="11"/>
  <c r="H35" i="11"/>
  <c r="A35" i="11"/>
  <c r="N34" i="11"/>
  <c r="M34" i="11"/>
  <c r="K34" i="11"/>
  <c r="H34" i="11"/>
  <c r="A34" i="11"/>
  <c r="N33" i="11"/>
  <c r="M33" i="11"/>
  <c r="L33" i="11"/>
  <c r="K33" i="11"/>
  <c r="H33" i="11"/>
  <c r="A33" i="11"/>
  <c r="A32" i="11"/>
  <c r="A31" i="11"/>
  <c r="A30" i="11"/>
  <c r="O29" i="11"/>
  <c r="A28" i="11"/>
  <c r="N27" i="11"/>
  <c r="M27" i="11"/>
  <c r="K27" i="11"/>
  <c r="H27" i="11"/>
  <c r="A27" i="11"/>
  <c r="N26" i="11"/>
  <c r="M26" i="11"/>
  <c r="K26" i="11"/>
  <c r="H26" i="11"/>
  <c r="A26" i="11"/>
  <c r="N25" i="11"/>
  <c r="M25" i="11"/>
  <c r="K25" i="11"/>
  <c r="H25" i="11"/>
  <c r="A25" i="11"/>
  <c r="N24" i="11"/>
  <c r="M24" i="11"/>
  <c r="K24" i="11"/>
  <c r="H24" i="11"/>
  <c r="A24" i="11"/>
  <c r="A23" i="11"/>
  <c r="A22" i="11"/>
  <c r="A21" i="11"/>
  <c r="O20" i="11"/>
  <c r="A19" i="11"/>
  <c r="N18" i="11"/>
  <c r="M18" i="11"/>
  <c r="K18" i="11"/>
  <c r="H18" i="11"/>
  <c r="A18" i="11"/>
  <c r="N17" i="11"/>
  <c r="M17" i="11"/>
  <c r="K17" i="11"/>
  <c r="H17" i="11"/>
  <c r="A17" i="11"/>
  <c r="N16" i="11"/>
  <c r="M16" i="11"/>
  <c r="K16" i="11"/>
  <c r="H16" i="11"/>
  <c r="A16" i="11"/>
  <c r="N15" i="11"/>
  <c r="M15" i="11"/>
  <c r="K15" i="11"/>
  <c r="H15" i="11"/>
  <c r="A15" i="11"/>
  <c r="N14" i="11"/>
  <c r="M14" i="11"/>
  <c r="K14" i="11"/>
  <c r="H14" i="11"/>
  <c r="A14" i="11"/>
  <c r="N13" i="11"/>
  <c r="M13" i="11"/>
  <c r="K13" i="11"/>
  <c r="H13" i="11"/>
  <c r="A13" i="11"/>
  <c r="N12" i="11"/>
  <c r="M12" i="11"/>
  <c r="K12" i="11"/>
  <c r="H12" i="11"/>
  <c r="A12" i="11"/>
  <c r="N11" i="11"/>
  <c r="M11" i="11"/>
  <c r="K11" i="11"/>
  <c r="H11" i="11"/>
  <c r="A11" i="11"/>
  <c r="O9" i="11"/>
  <c r="N6" i="11"/>
  <c r="N5" i="11"/>
  <c r="N4" i="11"/>
</calcChain>
</file>

<file path=xl/sharedStrings.xml><?xml version="1.0" encoding="utf-8"?>
<sst xmlns="http://schemas.openxmlformats.org/spreadsheetml/2006/main" count="127" uniqueCount="84">
  <si>
    <t>Estimate of Materials and Cost of Construction</t>
  </si>
  <si>
    <t>Summary</t>
  </si>
  <si>
    <t>Amount</t>
  </si>
  <si>
    <t>Subtotal</t>
  </si>
  <si>
    <t>Profit/Overhead</t>
  </si>
  <si>
    <t>Total</t>
  </si>
  <si>
    <t>Item #</t>
  </si>
  <si>
    <t>Ref. Sheet</t>
  </si>
  <si>
    <t>Detail Sheet Ref.</t>
  </si>
  <si>
    <t>CSI Ref.</t>
  </si>
  <si>
    <t>Description</t>
  </si>
  <si>
    <t>Quantity</t>
  </si>
  <si>
    <t>Wastage</t>
  </si>
  <si>
    <t>Quantity w/ Wastage</t>
  </si>
  <si>
    <t xml:space="preserve">Unit </t>
  </si>
  <si>
    <t>Unit Material Cost</t>
  </si>
  <si>
    <t>Total Material Cost</t>
  </si>
  <si>
    <t>Unit Labour Cost</t>
  </si>
  <si>
    <t>Total Labour Cost</t>
  </si>
  <si>
    <t>Total Item Cost</t>
  </si>
  <si>
    <t>Trade Cost</t>
  </si>
  <si>
    <t>DIV-01</t>
  </si>
  <si>
    <t>General</t>
  </si>
  <si>
    <t>Permit</t>
  </si>
  <si>
    <t>LS</t>
  </si>
  <si>
    <t>Supervision</t>
  </si>
  <si>
    <t>Final Cleanup</t>
  </si>
  <si>
    <t>Mobilization Cost</t>
  </si>
  <si>
    <t>Project Overheads</t>
  </si>
  <si>
    <t>Bonds</t>
  </si>
  <si>
    <t>Fees (Architect &amp; Engineer)</t>
  </si>
  <si>
    <t>Temporary Control &amp; Facilities</t>
  </si>
  <si>
    <t>DIV-02</t>
  </si>
  <si>
    <t>Existing Conditions/Site Work</t>
  </si>
  <si>
    <t>Demolition Work</t>
  </si>
  <si>
    <t>A1</t>
  </si>
  <si>
    <t/>
  </si>
  <si>
    <t xml:space="preserve">Removal Of Existing Roof Assembly Composed W/
- 01 Ply Sbs Granular Surfaced Modified Bitumen Membrane
- 02 Ply Fiber Glass Felt
- 1.5" Polyisocyanurate Insulation
- 04 Ply Organic Felt </t>
  </si>
  <si>
    <t>SF</t>
  </si>
  <si>
    <t>Removal Of Existing Roof Assembly Composed W/
- 01 Ply Sbs Granular Surfaced Modified Bitumen Membrane
- 02 Ply Fiber Glass Felt
- 0.5" Perlite Insulation
- 1.5" Polyisocyanurate Insulation</t>
  </si>
  <si>
    <t>Remove Coping, Wood Blocking And Flashing @ Parapet Wall</t>
  </si>
  <si>
    <t>LF</t>
  </si>
  <si>
    <t>Remove Existing Sheathing Of Parapet Wall (For Internal Side Only)</t>
  </si>
  <si>
    <t>DIV-07</t>
  </si>
  <si>
    <t>Thermal and Moisture Protection</t>
  </si>
  <si>
    <t>Roof Assembly</t>
  </si>
  <si>
    <t>Install One New Layer Of New 3.5-Inch Polyisocyanurate Insulation Adhered To The Concrete Decking In Two-Part Low-Rise Foam Polyurethane Adhesive As Approved By And To Meet Or Exceed The Proposed Roof System Manufacturer’S Installation Requirements And In Accordance With 2020 7Th Edition Florida Building Code Hvhz Requirements To Provide The Required Wind Uplift Rating For The Geographic Location Of The Project W/
- Install New 4’X4’ Tapered Polyisocyanurate Sumps At Roof Drains: 20 Ea</t>
  </si>
  <si>
    <t>Install New 60 Mil Pvc Membrane Fully Adhered To Meet Or Exceed The Proposed Roof System Manufacturer’S Installation Requirements And In Accordance With 2020 7Th Edition Florida Building Code Hvhz Requirements To Provide The Required Wind Uplift Rating For The Geographic Location Of The Project.</t>
  </si>
  <si>
    <t>New 1/4" Per Foot Tapered Polyisocyanurate Crickets B/W Drains</t>
  </si>
  <si>
    <t>Divide Wall (Height: 1 Ft)</t>
  </si>
  <si>
    <t>Fire Treated 2”X4” Lumber Top &amp; Bottom Track</t>
  </si>
  <si>
    <t>Fire Treated 2”X4” Lumber Fastened To The Decking</t>
  </si>
  <si>
    <t>Install New Fiberglass Batt Insulation In The Stud Bays</t>
  </si>
  <si>
    <t>Install New 1/2” Fire Treated Plywood Sheathing Fastened To The 2”X4” Framing Members</t>
  </si>
  <si>
    <t>Base Flashing &amp; Counter Flashing (If Required)</t>
  </si>
  <si>
    <t>Coping @ Top Of Wall</t>
  </si>
  <si>
    <t>Parapet Wall Detail</t>
  </si>
  <si>
    <t>Remove And Replace Any Damaged Or Deteriorated Plywood On The Top Of The Parapets With New Exterior Grade Plywood Sheathing Dimensioned To Match The Existing Members Fastened To The Top Plate Of The Metal Stud Framing With #10X1 -1/4” Self-Drilling Wafer Head Screws With A Minimum Of 3 Fasteners At The Ends Of Each Section And With Fasteners Spaced At 12 Inches O.C. 
- Area : 5,038 Sft</t>
  </si>
  <si>
    <t>Install New Structural Grade #2 Or Better Pressure Treated 2”X12” Lumber W/
- Fastened Through The Plywood To The Top Plate Of The Metal Stud Framing With #12X3-1 /4” Self-Drilling Flat Head Screws With A Minimum Of 4 Fasteners At The Ends Of Each Section And With Fasteners Spaced At 12 Inches O.C. Maximum Along Both Edges Of The New Lumber</t>
  </si>
  <si>
    <t>Install New Structural Grade #2 Or Better Pressure Treated
2”X6” Lumber W/
- Fastened Through The Plywood To The Top Plate Of The Metal Stud Framing With #12X3-1 /4” Self-Drilling Flat Head Screws
With A Minimum Of 3 Fasteners At The Ends Of Each Section And With Fasteners Spaced At 12 Inches O.C. Maximum.</t>
  </si>
  <si>
    <t>Install New 5/8” Dense Deck Prime Or Securock Gypsum Sheathing Mechanically Fastened With Fasteners As Approved By And Spaced In Accordance With The Gypsum Sheathing Manufacturer’S Installation Requirements.</t>
  </si>
  <si>
    <t>New 60 Mil Pvc Flashing Membrane (1Ft High)</t>
  </si>
  <si>
    <t>Install New Prefinished 24-Gauge Galvalume® Or G-90 Galvanized Steel Coping (Color To Be Selected By The Owner From The Manufacturer’S Standard Color Chart) Fabricated And Installed</t>
  </si>
  <si>
    <t>Install New Prefinished 24-Gauge Galvalume® Or G-90 Galvanized Steel Base Flashing</t>
  </si>
  <si>
    <t>Install New Prefinished 24-Gauge Galvalume® Or G-90 Galvanized Steel Surface Mounted Counter Flashing (Color To Be Selected By The Owner From The Manufacturer’S Standard Color Chart) Fabricated With A Sealant Tray At The Top And To Cover The Properly Terminated 60 Mil Pvc Flashing A Minimum Of 4-Inches Fastened With 1/4”X1 -1/4” Masonry Anchors Spaced At 12 Inches O.C. Maximum. Seal The Top Of The New Surface Mounted Counter Flashing Detail With Industrial Grade Polyurethane Sealant.</t>
  </si>
  <si>
    <t>Miscellaneous Work</t>
  </si>
  <si>
    <t>(For Building X &amp; T) Install New Structural Grade #2 Or Better Pressure Treated Lumber To Match The Width Of The Existing Wood Nailers W/
- New Continuous Exterior Grade Plywood Shims Ripped To Match The Width Of The Existing Wood Nailers As Required  In Accordance With FM Global Loss Prevention Data Sheet 1 -49.</t>
  </si>
  <si>
    <t>(For Building X &amp; T) Install New Pre-Manufactured 24 Gauge Prefinished Galvalume® Or G-90 Galvanized Ansi/Spri/Fm4435 Es-1 Tested Drip Edge (Color To Be Selected By The Owner From The Manufacturer’S Standard Color Chart) As Provided By Metal-Era Or Equivalent</t>
  </si>
  <si>
    <t>Remove And Replace Damaged Or Broken Drain Bowls With New Complete Cast Iron Drain Assemblies To Include Sump Pan, Clamping Rings, Strainer Baskets And All Hardware Required To Match The Diameter Of And Tied Into Existing Drain Lines In Accordance With 2020 7Th Edition Florida Plumbing Code Requirements And Insulate The New Drain Assemblies From The Roof Deck To The First Elbow In The Existing Piping And Tied Into Existing Insulation On Drain Piping</t>
  </si>
  <si>
    <t>EA</t>
  </si>
  <si>
    <t>Install New (6" X 16") Pvc Coated Metal Scupper Sleeves Fabricated And Dimensioned To Fit The Existing Openings And Flashed In Accordance With Proposed Roof System Manufacturer’S Standard Detailing Requirements. Install New Prefinished 24-Gauge Faceplates At Overflow Scuppers. Seal The Top And Sides Of The New Faceplates With Industrial Grade Polyurethane Sealant.</t>
  </si>
  <si>
    <t>All Existing / Rusted Roof Top Equipment, Pipes, And Other Metal Components Not To Be Removed Or Replaced Shall Be Wire Brushed, Primed, And Painted With Two Coats Of Exterior Grade Rust Inhibitive Paint. 
- It Includes Vents, Capped Curb, Roof Hatch, Capped Pipe, Hook Vent And Exhaust Units Etc.</t>
  </si>
  <si>
    <t>Install Manufacturer’S Walk Pads At Access Areas And Around All Sides Of Hvac Curbs.
- Assuming 10 Pads Per Hvac Unit</t>
  </si>
  <si>
    <t>Relocate Overflow Scuppers</t>
  </si>
  <si>
    <t>Pitch Pocket</t>
  </si>
  <si>
    <t xml:space="preserve">(12'L X 8'W X 1'T) Curb W/ Flashing Around It </t>
  </si>
  <si>
    <t>SUB TOTAL</t>
  </si>
  <si>
    <t>Total Mat. Cost =</t>
  </si>
  <si>
    <t>Total Lab. Cost =</t>
  </si>
  <si>
    <t>INSURANCE</t>
  </si>
  <si>
    <t>OVERHEAD AND PROFIT</t>
  </si>
  <si>
    <t>TOTAL BASE BID</t>
  </si>
  <si>
    <t>NOTES FOR CONTRACTOR:</t>
  </si>
  <si>
    <t>1. All detail is taken after incorporating drawing and detail of bid form.</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</si>
</sst>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1" formatCode="_(* #,##0_);_(* \(#,##0\);_(* &quot;-&quot;_);_(@_)"/>
    <numFmt numFmtId="44" formatCode="_(&quot;$&quot;* #,##0.00_);_(&quot;$&quot;* \(#,##0.00\);_(&quot;$&quot;* &quot;-&quot;??_);_(@_)"/>
    <numFmt numFmtId="43" formatCode="_(* #,##0.00_);_(* \(#,##0.00\);_(* &quot;-&quot;??_);_(@_)"/>
    <numFmt numFmtId="165" formatCode="_(* #,##0.0_);_(* \(#,##0.0\);_(* &quot;-&quot;??_);_(@_)"/>
    <numFmt numFmtId="166" formatCode="0.0"/>
    <numFmt numFmtId="168" formatCode="_(&quot;$&quot;* #,##0_);_(&quot;$&quot;* \(#,##0\);_(&quot;$&quot;* &quot;-&quot;??_);_(@_)"/>
    <numFmt numFmtId="169" formatCode="_(* #,##0_);_(* \(#,##0\);_(* &quot;-&quot;??_);_(@_)"/>
    <numFmt numFmtId="170" formatCode="&quot;$&quot;#,##0"/>
  </numFmts>
  <fonts count="20">
    <font>
      <sz val="12"/>
      <name val="Arial"/>
      <charset val="134"/>
    </font>
    <font>
      <sz val="7"/>
      <color theme="1"/>
      <name val="Times New Roman"/>
      <charset val="134"/>
    </font>
    <font>
      <sz val="12"/>
      <color indexed="9"/>
      <name val="Calibri"/>
      <charset val="134"/>
      <scheme val="minor"/>
    </font>
    <font>
      <sz val="12"/>
      <name val="Calibri"/>
      <charset val="134"/>
      <scheme val="minor"/>
    </font>
    <font>
      <b/>
      <u/>
      <sz val="18"/>
      <color theme="1"/>
      <name val="Times New Roman"/>
      <charset val="134"/>
    </font>
    <font>
      <b/>
      <sz val="18"/>
      <color theme="1"/>
      <name val="Times New Roman"/>
      <charset val="134"/>
    </font>
    <font>
      <b/>
      <sz val="16"/>
      <color theme="1"/>
      <name val="Times New Roman"/>
      <charset val="134"/>
    </font>
    <font>
      <sz val="16"/>
      <color theme="1"/>
      <name val="Times New Roman"/>
      <charset val="134"/>
    </font>
    <font>
      <b/>
      <sz val="12"/>
      <color theme="1"/>
      <name val="Calibri"/>
      <charset val="134"/>
      <scheme val="minor"/>
    </font>
    <font>
      <b/>
      <sz val="12"/>
      <color indexed="63"/>
      <name val="Calibri"/>
      <charset val="134"/>
      <scheme val="minor"/>
    </font>
    <font>
      <b/>
      <sz val="12"/>
      <name val="Calibri"/>
      <charset val="134"/>
      <scheme val="minor"/>
    </font>
    <font>
      <u/>
      <sz val="12"/>
      <name val="Calibri"/>
      <charset val="134"/>
      <scheme val="minor"/>
    </font>
    <font>
      <sz val="12"/>
      <color theme="1"/>
      <name val="Calibri"/>
      <charset val="134"/>
      <scheme val="minor"/>
    </font>
    <font>
      <b/>
      <sz val="12"/>
      <color indexed="8"/>
      <name val="Calibri"/>
      <charset val="134"/>
    </font>
    <font>
      <sz val="12"/>
      <name val="Arial"/>
      <charset val="134"/>
    </font>
    <font>
      <sz val="11"/>
      <color theme="1"/>
      <name val="Calibri"/>
      <charset val="134"/>
      <scheme val="minor"/>
    </font>
    <font>
      <b/>
      <sz val="11"/>
      <color indexed="8"/>
      <name val="Calibri"/>
      <charset val="134"/>
    </font>
    <font>
      <sz val="10"/>
      <name val="Arial"/>
      <charset val="134"/>
    </font>
    <font>
      <b/>
      <sz val="11"/>
      <color indexed="63"/>
      <name val="Calibri"/>
      <charset val="134"/>
    </font>
    <font>
      <sz val="11"/>
      <color indexed="62"/>
      <name val="Calibri"/>
      <charset val="134"/>
    </font>
  </fonts>
  <fills count="8">
    <fill>
      <patternFill patternType="none"/>
    </fill>
    <fill>
      <patternFill patternType="gray125"/>
    </fill>
    <fill>
      <patternFill patternType="solid">
        <fgColor theme="3" tint="0.59999389629810485"/>
        <bgColor indexed="64"/>
      </patternFill>
    </fill>
    <fill>
      <patternFill patternType="solid">
        <fgColor indexed="22"/>
        <bgColor indexed="64"/>
      </patternFill>
    </fill>
    <fill>
      <patternFill patternType="solid">
        <fgColor theme="0"/>
        <bgColor indexed="64"/>
      </patternFill>
    </fill>
    <fill>
      <patternFill patternType="solid">
        <fgColor theme="3" tint="0.39994506668294322"/>
        <bgColor indexed="64"/>
      </patternFill>
    </fill>
    <fill>
      <patternFill patternType="solid">
        <fgColor indexed="26"/>
        <bgColor indexed="64"/>
      </patternFill>
    </fill>
    <fill>
      <patternFill patternType="solid">
        <fgColor indexed="47"/>
        <bgColor indexed="64"/>
      </patternFill>
    </fill>
  </fills>
  <borders count="24">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indexed="63"/>
      </right>
      <top style="thin">
        <color auto="1"/>
      </top>
      <bottom style="thin">
        <color auto="1"/>
      </bottom>
      <diagonal/>
    </border>
    <border>
      <left style="thin">
        <color indexed="63"/>
      </left>
      <right/>
      <top style="thin">
        <color auto="1"/>
      </top>
      <bottom style="thin">
        <color auto="1"/>
      </bottom>
      <diagonal/>
    </border>
    <border>
      <left/>
      <right/>
      <top style="thin">
        <color auto="1"/>
      </top>
      <bottom style="thin">
        <color auto="1"/>
      </bottom>
      <diagonal/>
    </border>
    <border>
      <left style="thin">
        <color auto="1"/>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auto="1"/>
      </left>
      <right style="thin">
        <color indexed="22"/>
      </right>
      <top style="thin">
        <color indexed="22"/>
      </top>
      <bottom/>
      <diagonal/>
    </border>
    <border>
      <left style="thin">
        <color auto="1"/>
      </left>
      <right style="thin">
        <color indexed="22"/>
      </right>
      <top/>
      <bottom style="thin">
        <color indexed="22"/>
      </bottom>
      <diagonal/>
    </border>
    <border>
      <left/>
      <right/>
      <top/>
      <bottom style="medium">
        <color auto="1"/>
      </bottom>
      <diagonal/>
    </border>
    <border>
      <left style="thin">
        <color indexed="22"/>
      </left>
      <right style="thin">
        <color auto="1"/>
      </right>
      <top style="thin">
        <color indexed="22"/>
      </top>
      <bottom style="thin">
        <color indexed="22"/>
      </bottom>
      <diagonal/>
    </border>
    <border>
      <left style="thin">
        <color auto="1"/>
      </left>
      <right/>
      <top style="thin">
        <color indexed="62"/>
      </top>
      <bottom style="double">
        <color indexed="62"/>
      </bottom>
      <diagonal/>
    </border>
    <border>
      <left/>
      <right/>
      <top style="thin">
        <color indexed="62"/>
      </top>
      <bottom style="double">
        <color indexed="62"/>
      </bottom>
      <diagonal/>
    </border>
    <border>
      <left style="thin">
        <color auto="1"/>
      </left>
      <right/>
      <top style="double">
        <color indexed="62"/>
      </top>
      <bottom style="double">
        <color indexed="62"/>
      </bottom>
      <diagonal/>
    </border>
    <border>
      <left/>
      <right/>
      <top style="double">
        <color indexed="62"/>
      </top>
      <bottom style="double">
        <color indexed="62"/>
      </bottom>
      <diagonal/>
    </border>
    <border>
      <left style="thin">
        <color auto="1"/>
      </left>
      <right/>
      <top style="double">
        <color indexed="62"/>
      </top>
      <bottom style="thin">
        <color auto="1"/>
      </bottom>
      <diagonal/>
    </border>
    <border>
      <left/>
      <right/>
      <top style="double">
        <color indexed="62"/>
      </top>
      <bottom style="thin">
        <color auto="1"/>
      </bottom>
      <diagonal/>
    </border>
    <border>
      <left/>
      <right/>
      <top style="thin">
        <color indexed="62"/>
      </top>
      <bottom style="thin">
        <color auto="1"/>
      </bottom>
      <diagonal/>
    </border>
    <border>
      <left/>
      <right style="thin">
        <color auto="1"/>
      </right>
      <top style="thin">
        <color indexed="62"/>
      </top>
      <bottom style="double">
        <color indexed="62"/>
      </bottom>
      <diagonal/>
    </border>
    <border>
      <left/>
      <right style="thin">
        <color auto="1"/>
      </right>
      <top style="thin">
        <color indexed="62"/>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n">
        <color auto="1"/>
      </bottom>
      <diagonal/>
    </border>
  </borders>
  <cellStyleXfs count="32">
    <xf numFmtId="0" fontId="0" fillId="0" borderId="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5" fillId="0" borderId="0"/>
    <xf numFmtId="0" fontId="14" fillId="6" borderId="7" applyNumberFormat="0" applyFont="0" applyAlignment="0" applyProtection="0"/>
    <xf numFmtId="0" fontId="15" fillId="0" borderId="0"/>
    <xf numFmtId="0" fontId="19" fillId="7" borderId="22" applyNumberFormat="0" applyAlignment="0" applyProtection="0"/>
    <xf numFmtId="0" fontId="15" fillId="0" borderId="0"/>
    <xf numFmtId="0" fontId="18" fillId="3" borderId="21" applyNumberFormat="0" applyAlignment="0" applyProtection="0"/>
    <xf numFmtId="0" fontId="16" fillId="0" borderId="13" applyNumberFormat="0" applyFill="0" applyAlignment="0" applyProtection="0"/>
    <xf numFmtId="0" fontId="15" fillId="0" borderId="0"/>
    <xf numFmtId="0" fontId="14" fillId="0" borderId="0"/>
    <xf numFmtId="0" fontId="14" fillId="0" borderId="0"/>
    <xf numFmtId="0" fontId="14" fillId="0" borderId="0"/>
    <xf numFmtId="44" fontId="17" fillId="0" borderId="0" applyFont="0" applyFill="0" applyBorder="0" applyAlignment="0" applyProtection="0"/>
    <xf numFmtId="44" fontId="14" fillId="0" borderId="0" applyFont="0" applyFill="0" applyBorder="0" applyAlignment="0" applyProtection="0"/>
    <xf numFmtId="43" fontId="14" fillId="0" borderId="0" applyFont="0" applyFill="0" applyBorder="0" applyAlignment="0" applyProtection="0"/>
    <xf numFmtId="0" fontId="15" fillId="0" borderId="0"/>
    <xf numFmtId="43" fontId="14" fillId="0" borderId="0" applyFont="0" applyFill="0" applyBorder="0" applyAlignment="0" applyProtection="0"/>
    <xf numFmtId="0" fontId="15" fillId="0" borderId="0"/>
    <xf numFmtId="0" fontId="15" fillId="0" borderId="0"/>
    <xf numFmtId="0" fontId="17" fillId="0" borderId="0"/>
    <xf numFmtId="0" fontId="14" fillId="0" borderId="0"/>
    <xf numFmtId="0" fontId="15" fillId="0" borderId="0"/>
    <xf numFmtId="0" fontId="15" fillId="0" borderId="0"/>
    <xf numFmtId="0" fontId="15" fillId="0" borderId="0"/>
    <xf numFmtId="0" fontId="14" fillId="0" borderId="0"/>
    <xf numFmtId="0" fontId="15" fillId="0" borderId="0"/>
    <xf numFmtId="0" fontId="15" fillId="0" borderId="0"/>
    <xf numFmtId="0" fontId="15" fillId="0" borderId="0"/>
    <xf numFmtId="0" fontId="15" fillId="0" borderId="0"/>
  </cellStyleXfs>
  <cellXfs count="107">
    <xf numFmtId="0" fontId="0" fillId="0" borderId="0" xfId="0"/>
    <xf numFmtId="0" fontId="1" fillId="0" borderId="0" xfId="0" applyFont="1"/>
    <xf numFmtId="0" fontId="2" fillId="0" borderId="0" xfId="0" applyFont="1" applyFill="1" applyAlignment="1">
      <alignment horizontal="center" vertical="center" wrapText="1"/>
    </xf>
    <xf numFmtId="0" fontId="3" fillId="0" borderId="0" xfId="23" applyFont="1" applyFill="1" applyAlignment="1">
      <alignment vertical="center"/>
    </xf>
    <xf numFmtId="0" fontId="3" fillId="0" borderId="0" xfId="0" applyFont="1" applyAlignment="1">
      <alignment horizontal="center" vertical="center"/>
    </xf>
    <xf numFmtId="0" fontId="3" fillId="0" borderId="0" xfId="0" applyFont="1" applyAlignment="1">
      <alignment horizontal="center" vertical="top"/>
    </xf>
    <xf numFmtId="2" fontId="3" fillId="0" borderId="0" xfId="0" applyNumberFormat="1" applyFont="1" applyAlignment="1">
      <alignment vertical="center" wrapText="1"/>
    </xf>
    <xf numFmtId="165" fontId="3" fillId="0" borderId="0" xfId="1" applyNumberFormat="1" applyFont="1" applyAlignment="1">
      <alignment vertical="center" wrapText="1"/>
    </xf>
    <xf numFmtId="2" fontId="3" fillId="0" borderId="0" xfId="0" applyNumberFormat="1" applyFont="1" applyAlignment="1">
      <alignment horizontal="center" wrapText="1"/>
    </xf>
    <xf numFmtId="166" fontId="3" fillId="0" borderId="0" xfId="1" applyNumberFormat="1" applyFont="1" applyAlignment="1">
      <alignment horizontal="center" vertical="center" wrapText="1"/>
    </xf>
    <xf numFmtId="168" fontId="3" fillId="0" borderId="0" xfId="2" applyNumberFormat="1" applyFont="1" applyAlignment="1">
      <alignment vertical="center" wrapText="1"/>
    </xf>
    <xf numFmtId="168" fontId="3" fillId="0" borderId="0" xfId="2" applyNumberFormat="1" applyFont="1" applyAlignment="1">
      <alignment vertical="center"/>
    </xf>
    <xf numFmtId="0" fontId="3" fillId="0" borderId="0" xfId="0" applyFont="1" applyAlignment="1">
      <alignment vertical="top"/>
    </xf>
    <xf numFmtId="0" fontId="3" fillId="0" borderId="1" xfId="0" applyFont="1" applyBorder="1" applyAlignment="1">
      <alignment horizontal="center" vertical="center"/>
    </xf>
    <xf numFmtId="0" fontId="3" fillId="0" borderId="0" xfId="0" applyFont="1" applyBorder="1" applyAlignment="1">
      <alignment horizontal="center" vertical="center"/>
    </xf>
    <xf numFmtId="43" fontId="3" fillId="0" borderId="0" xfId="1" applyNumberFormat="1" applyFont="1" applyBorder="1" applyAlignment="1">
      <alignment horizontal="center" vertical="center" wrapText="1"/>
    </xf>
    <xf numFmtId="2" fontId="3" fillId="0" borderId="0" xfId="0" applyNumberFormat="1" applyFont="1" applyBorder="1" applyAlignment="1">
      <alignment horizontal="center" vertical="center" wrapText="1"/>
    </xf>
    <xf numFmtId="0" fontId="3" fillId="0" borderId="0" xfId="0" applyFont="1" applyBorder="1" applyAlignment="1">
      <alignment horizontal="center" vertical="top"/>
    </xf>
    <xf numFmtId="2" fontId="3" fillId="0" borderId="0" xfId="0" applyNumberFormat="1" applyFont="1" applyBorder="1" applyAlignment="1">
      <alignment vertical="center" wrapText="1"/>
    </xf>
    <xf numFmtId="0" fontId="8" fillId="2" borderId="2" xfId="7" applyFont="1" applyFill="1" applyBorder="1" applyAlignment="1" applyProtection="1">
      <alignment horizontal="center" vertical="center" wrapText="1"/>
    </xf>
    <xf numFmtId="2" fontId="8" fillId="2" borderId="2" xfId="7" applyNumberFormat="1" applyFont="1" applyFill="1" applyBorder="1" applyAlignment="1" applyProtection="1">
      <alignment horizontal="center" vertical="center" wrapText="1"/>
    </xf>
    <xf numFmtId="169" fontId="8" fillId="2" borderId="2" xfId="17" applyNumberFormat="1" applyFont="1" applyFill="1" applyBorder="1" applyAlignment="1" applyProtection="1">
      <alignment horizontal="center" vertical="center" wrapText="1"/>
    </xf>
    <xf numFmtId="0" fontId="9" fillId="3" borderId="3" xfId="9" applyFont="1" applyBorder="1" applyAlignment="1">
      <alignment horizontal="center" vertical="center"/>
    </xf>
    <xf numFmtId="0" fontId="9" fillId="3" borderId="3" xfId="9" applyFont="1" applyBorder="1" applyAlignment="1">
      <alignment horizontal="center" vertical="top"/>
    </xf>
    <xf numFmtId="0" fontId="9" fillId="3" borderId="4" xfId="9" applyFont="1" applyBorder="1" applyAlignment="1">
      <alignment vertical="center"/>
    </xf>
    <xf numFmtId="43" fontId="9" fillId="3" borderId="5" xfId="1" applyNumberFormat="1" applyFont="1" applyFill="1" applyBorder="1" applyAlignment="1">
      <alignment horizontal="center" vertical="center"/>
    </xf>
    <xf numFmtId="0" fontId="9" fillId="3" borderId="5" xfId="9" applyFont="1" applyBorder="1" applyAlignment="1">
      <alignment horizontal="center" vertical="center"/>
    </xf>
    <xf numFmtId="0" fontId="9" fillId="3" borderId="5" xfId="9" applyFont="1" applyBorder="1" applyAlignment="1">
      <alignment vertical="center"/>
    </xf>
    <xf numFmtId="1" fontId="3" fillId="0" borderId="6" xfId="5" applyNumberFormat="1" applyFont="1" applyFill="1" applyBorder="1" applyAlignment="1">
      <alignment horizontal="center" vertical="center"/>
    </xf>
    <xf numFmtId="1" fontId="3" fillId="4" borderId="6" xfId="5" applyNumberFormat="1" applyFont="1" applyFill="1" applyBorder="1" applyAlignment="1">
      <alignment horizontal="center" vertical="center"/>
    </xf>
    <xf numFmtId="1" fontId="3" fillId="4" borderId="6" xfId="5" applyNumberFormat="1" applyFont="1" applyFill="1" applyBorder="1" applyAlignment="1">
      <alignment horizontal="center" vertical="top"/>
    </xf>
    <xf numFmtId="0" fontId="3" fillId="4" borderId="7" xfId="5" applyFont="1" applyFill="1" applyBorder="1" applyAlignment="1">
      <alignment horizontal="justify" vertical="center" wrapText="1"/>
    </xf>
    <xf numFmtId="43" fontId="3" fillId="4" borderId="7" xfId="1" applyNumberFormat="1" applyFont="1" applyFill="1" applyBorder="1" applyAlignment="1">
      <alignment horizontal="center" vertical="center"/>
    </xf>
    <xf numFmtId="9" fontId="3" fillId="4" borderId="7" xfId="5" applyNumberFormat="1" applyFont="1" applyFill="1" applyBorder="1" applyAlignment="1">
      <alignment horizontal="center" vertical="center"/>
    </xf>
    <xf numFmtId="41" fontId="3" fillId="4" borderId="7" xfId="5" applyNumberFormat="1" applyFont="1" applyFill="1" applyBorder="1" applyAlignment="1">
      <alignment horizontal="right" vertical="center"/>
    </xf>
    <xf numFmtId="165" fontId="3" fillId="4" borderId="7" xfId="1" applyNumberFormat="1" applyFont="1" applyFill="1" applyBorder="1" applyAlignment="1">
      <alignment vertical="center"/>
    </xf>
    <xf numFmtId="9" fontId="3" fillId="4" borderId="7" xfId="5" applyNumberFormat="1" applyFont="1" applyFill="1" applyBorder="1" applyAlignment="1">
      <alignment horizontal="center"/>
    </xf>
    <xf numFmtId="166" fontId="3" fillId="4" borderId="7" xfId="1" applyNumberFormat="1" applyFont="1" applyFill="1" applyBorder="1" applyAlignment="1">
      <alignment horizontal="right" vertical="center"/>
    </xf>
    <xf numFmtId="1" fontId="3" fillId="4" borderId="8" xfId="5" applyNumberFormat="1" applyFont="1" applyFill="1" applyBorder="1" applyAlignment="1">
      <alignment horizontal="center" vertical="center"/>
    </xf>
    <xf numFmtId="1" fontId="3" fillId="4" borderId="2" xfId="5" applyNumberFormat="1" applyFont="1" applyFill="1" applyBorder="1" applyAlignment="1">
      <alignment horizontal="center" vertical="center"/>
    </xf>
    <xf numFmtId="0" fontId="10" fillId="5" borderId="7" xfId="5" applyFont="1" applyFill="1" applyBorder="1" applyAlignment="1">
      <alignment horizontal="center" vertical="center" wrapText="1"/>
    </xf>
    <xf numFmtId="1" fontId="3" fillId="4" borderId="9" xfId="5" applyNumberFormat="1" applyFont="1" applyFill="1" applyBorder="1" applyAlignment="1">
      <alignment horizontal="center" vertical="center"/>
    </xf>
    <xf numFmtId="168" fontId="10" fillId="0" borderId="0" xfId="2" applyNumberFormat="1" applyFont="1" applyBorder="1" applyAlignment="1">
      <alignment vertical="center" wrapText="1"/>
    </xf>
    <xf numFmtId="168" fontId="3" fillId="0" borderId="0" xfId="2" applyNumberFormat="1" applyFont="1" applyBorder="1" applyAlignment="1">
      <alignment vertical="center" wrapText="1"/>
    </xf>
    <xf numFmtId="168" fontId="3" fillId="0" borderId="0" xfId="2" applyNumberFormat="1" applyFont="1" applyBorder="1" applyAlignment="1">
      <alignment vertical="center"/>
    </xf>
    <xf numFmtId="168" fontId="6" fillId="0" borderId="10" xfId="2" applyNumberFormat="1" applyFont="1" applyBorder="1" applyAlignment="1">
      <alignment horizontal="center" vertical="center"/>
    </xf>
    <xf numFmtId="168" fontId="7" fillId="0" borderId="0" xfId="2" applyNumberFormat="1" applyFont="1" applyAlignment="1">
      <alignment horizontal="right" vertical="center"/>
    </xf>
    <xf numFmtId="168" fontId="7" fillId="0" borderId="0" xfId="2" applyNumberFormat="1" applyFont="1" applyAlignment="1">
      <alignment horizontal="center" vertical="center"/>
    </xf>
    <xf numFmtId="168" fontId="8" fillId="2" borderId="2" xfId="16" applyNumberFormat="1" applyFont="1" applyFill="1" applyBorder="1" applyAlignment="1" applyProtection="1">
      <alignment horizontal="center" vertical="center" wrapText="1"/>
    </xf>
    <xf numFmtId="0" fontId="11" fillId="0" borderId="0" xfId="0" applyFont="1" applyFill="1" applyAlignment="1">
      <alignment vertical="center"/>
    </xf>
    <xf numFmtId="168" fontId="9" fillId="3" borderId="5" xfId="2" applyNumberFormat="1" applyFont="1" applyFill="1" applyBorder="1" applyAlignment="1">
      <alignment vertical="center"/>
    </xf>
    <xf numFmtId="168" fontId="9" fillId="3" borderId="2" xfId="2" applyNumberFormat="1" applyFont="1" applyFill="1" applyBorder="1" applyAlignment="1">
      <alignment vertical="center"/>
    </xf>
    <xf numFmtId="41" fontId="3" fillId="0" borderId="0" xfId="23" applyNumberFormat="1" applyFont="1" applyFill="1" applyAlignment="1">
      <alignment vertical="center"/>
    </xf>
    <xf numFmtId="0" fontId="3" fillId="4" borderId="7" xfId="5" applyFont="1" applyFill="1" applyBorder="1" applyAlignment="1">
      <alignment horizontal="center" vertical="center"/>
    </xf>
    <xf numFmtId="168" fontId="3" fillId="4" borderId="7" xfId="2" applyNumberFormat="1" applyFont="1" applyFill="1" applyBorder="1" applyAlignment="1">
      <alignment vertical="center"/>
    </xf>
    <xf numFmtId="168" fontId="3" fillId="4" borderId="7" xfId="2" applyNumberFormat="1" applyFont="1" applyFill="1" applyBorder="1" applyAlignment="1" applyProtection="1">
      <alignment horizontal="left" vertical="center"/>
    </xf>
    <xf numFmtId="168" fontId="10" fillId="4" borderId="11" xfId="2" applyNumberFormat="1" applyFont="1" applyFill="1" applyBorder="1" applyAlignment="1" applyProtection="1">
      <alignment horizontal="left" vertical="center"/>
    </xf>
    <xf numFmtId="44" fontId="3" fillId="4" borderId="7" xfId="16" applyNumberFormat="1" applyFont="1" applyFill="1" applyBorder="1" applyAlignment="1">
      <alignment horizontal="right" vertical="center"/>
    </xf>
    <xf numFmtId="168" fontId="3" fillId="4" borderId="7" xfId="16" applyNumberFormat="1" applyFont="1" applyFill="1" applyBorder="1" applyAlignment="1">
      <alignment horizontal="right" vertical="center"/>
    </xf>
    <xf numFmtId="44" fontId="3" fillId="4" borderId="7" xfId="16" applyNumberFormat="1" applyFont="1" applyFill="1" applyBorder="1" applyAlignment="1">
      <alignment vertical="center"/>
    </xf>
    <xf numFmtId="168" fontId="3" fillId="4" borderId="7" xfId="16" applyNumberFormat="1" applyFont="1" applyFill="1" applyBorder="1" applyAlignment="1">
      <alignment vertical="center"/>
    </xf>
    <xf numFmtId="168" fontId="3" fillId="4" borderId="7" xfId="16" applyNumberFormat="1" applyFont="1" applyFill="1" applyBorder="1" applyAlignment="1" applyProtection="1">
      <alignment horizontal="left" vertical="center"/>
    </xf>
    <xf numFmtId="0" fontId="12" fillId="0" borderId="0" xfId="0" applyFont="1" applyAlignment="1">
      <alignment horizontal="center" vertical="center"/>
    </xf>
    <xf numFmtId="168" fontId="3" fillId="4" borderId="7" xfId="2" applyNumberFormat="1" applyFont="1" applyFill="1" applyBorder="1" applyAlignment="1">
      <alignment horizontal="right" vertical="center"/>
    </xf>
    <xf numFmtId="0" fontId="13" fillId="0" borderId="13" xfId="10" applyFont="1" applyFill="1" applyBorder="1" applyAlignment="1">
      <alignment horizontal="left" vertical="center"/>
    </xf>
    <xf numFmtId="0" fontId="13" fillId="0" borderId="13" xfId="10" applyFont="1" applyFill="1" applyBorder="1" applyAlignment="1">
      <alignment horizontal="center" vertical="center"/>
    </xf>
    <xf numFmtId="0" fontId="13" fillId="0" borderId="13" xfId="10" applyFont="1" applyFill="1" applyBorder="1" applyAlignment="1">
      <alignment horizontal="left" vertical="top"/>
    </xf>
    <xf numFmtId="0" fontId="13" fillId="0" borderId="13" xfId="10" applyFont="1" applyFill="1" applyBorder="1" applyAlignment="1">
      <alignment vertical="center"/>
    </xf>
    <xf numFmtId="43" fontId="13" fillId="0" borderId="13" xfId="1" applyNumberFormat="1" applyFont="1" applyFill="1" applyBorder="1" applyAlignment="1" applyProtection="1">
      <alignment horizontal="center" vertical="center"/>
    </xf>
    <xf numFmtId="170" fontId="13" fillId="0" borderId="13" xfId="10" applyNumberFormat="1" applyFont="1" applyFill="1" applyBorder="1" applyAlignment="1" applyProtection="1">
      <alignment horizontal="center" vertical="center"/>
    </xf>
    <xf numFmtId="0" fontId="13" fillId="0" borderId="18" xfId="10" applyFont="1" applyFill="1" applyBorder="1" applyAlignment="1">
      <alignment horizontal="center" vertical="center"/>
    </xf>
    <xf numFmtId="0" fontId="13" fillId="0" borderId="18" xfId="10" applyFont="1" applyFill="1" applyBorder="1" applyAlignment="1">
      <alignment horizontal="left" vertical="top"/>
    </xf>
    <xf numFmtId="0" fontId="13" fillId="0" borderId="18" xfId="10" applyFont="1" applyFill="1" applyBorder="1" applyAlignment="1">
      <alignment vertical="center"/>
    </xf>
    <xf numFmtId="43" fontId="13" fillId="0" borderId="18" xfId="1" applyNumberFormat="1" applyFont="1" applyFill="1" applyBorder="1" applyAlignment="1" applyProtection="1">
      <alignment horizontal="center" vertical="center"/>
    </xf>
    <xf numFmtId="170" fontId="13" fillId="0" borderId="18" xfId="10" applyNumberFormat="1" applyFont="1" applyFill="1" applyBorder="1" applyAlignment="1" applyProtection="1">
      <alignment horizontal="center" vertical="center"/>
    </xf>
    <xf numFmtId="0" fontId="10" fillId="0" borderId="1" xfId="0" applyFont="1" applyBorder="1" applyAlignment="1">
      <alignment horizontal="left" vertical="center"/>
    </xf>
    <xf numFmtId="2" fontId="3" fillId="0" borderId="0" xfId="0" applyNumberFormat="1" applyFont="1" applyBorder="1" applyAlignment="1">
      <alignment vertical="center"/>
    </xf>
    <xf numFmtId="43" fontId="3" fillId="0" borderId="0" xfId="1" applyNumberFormat="1" applyFont="1" applyAlignment="1">
      <alignment horizontal="center" vertical="center"/>
    </xf>
    <xf numFmtId="2" fontId="3" fillId="0" borderId="0" xfId="0" applyNumberFormat="1" applyFont="1" applyAlignment="1">
      <alignment horizontal="center" vertical="center" wrapText="1"/>
    </xf>
    <xf numFmtId="0" fontId="3" fillId="0" borderId="1" xfId="0" applyFont="1" applyBorder="1" applyAlignment="1">
      <alignment horizontal="left" vertical="center"/>
    </xf>
    <xf numFmtId="0" fontId="3" fillId="0" borderId="1"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0" xfId="0" applyFont="1" applyFill="1" applyBorder="1" applyAlignment="1">
      <alignment horizontal="center" vertical="top"/>
    </xf>
    <xf numFmtId="0" fontId="13" fillId="0" borderId="13" xfId="10" applyFont="1" applyFill="1" applyBorder="1" applyAlignment="1">
      <alignment horizontal="right" vertical="center"/>
    </xf>
    <xf numFmtId="168" fontId="13" fillId="0" borderId="19" xfId="2" applyNumberFormat="1" applyFont="1" applyFill="1" applyBorder="1" applyAlignment="1">
      <alignment vertical="center"/>
    </xf>
    <xf numFmtId="168" fontId="13" fillId="0" borderId="13" xfId="2" applyNumberFormat="1" applyFont="1" applyFill="1" applyBorder="1" applyAlignment="1">
      <alignment vertical="center"/>
    </xf>
    <xf numFmtId="9" fontId="13" fillId="0" borderId="13" xfId="3" applyFont="1" applyFill="1" applyBorder="1" applyAlignment="1">
      <alignment horizontal="center" vertical="center"/>
    </xf>
    <xf numFmtId="168" fontId="13" fillId="0" borderId="13" xfId="2" applyNumberFormat="1" applyFont="1" applyFill="1" applyBorder="1" applyAlignment="1">
      <alignment horizontal="center" vertical="center"/>
    </xf>
    <xf numFmtId="168" fontId="13" fillId="0" borderId="13" xfId="2" applyNumberFormat="1" applyFont="1" applyFill="1" applyBorder="1" applyAlignment="1">
      <alignment horizontal="left" vertical="center"/>
    </xf>
    <xf numFmtId="168" fontId="13" fillId="0" borderId="18" xfId="2" applyNumberFormat="1" applyFont="1" applyFill="1" applyBorder="1" applyAlignment="1">
      <alignment vertical="center"/>
    </xf>
    <xf numFmtId="168" fontId="13" fillId="0" borderId="18" xfId="2" applyNumberFormat="1" applyFont="1" applyFill="1" applyBorder="1" applyAlignment="1">
      <alignment horizontal="left" vertical="center"/>
    </xf>
    <xf numFmtId="168" fontId="13" fillId="0" borderId="20" xfId="2" applyNumberFormat="1" applyFont="1" applyFill="1" applyBorder="1" applyAlignment="1">
      <alignment vertical="center"/>
    </xf>
    <xf numFmtId="44" fontId="3" fillId="0" borderId="0" xfId="2" applyNumberFormat="1" applyFont="1" applyAlignment="1">
      <alignment vertical="center"/>
    </xf>
    <xf numFmtId="2" fontId="4" fillId="2" borderId="0" xfId="0" applyNumberFormat="1" applyFont="1" applyFill="1" applyAlignment="1">
      <alignment horizontal="center"/>
    </xf>
    <xf numFmtId="2" fontId="5" fillId="2" borderId="0" xfId="0" applyNumberFormat="1" applyFont="1" applyFill="1" applyAlignment="1">
      <alignment horizontal="center"/>
    </xf>
    <xf numFmtId="165" fontId="5" fillId="2" borderId="0" xfId="1" applyNumberFormat="1" applyFont="1" applyFill="1" applyAlignment="1">
      <alignment horizontal="center"/>
    </xf>
    <xf numFmtId="2" fontId="5" fillId="2" borderId="0" xfId="0" applyNumberFormat="1" applyFont="1" applyFill="1" applyAlignment="1"/>
    <xf numFmtId="166" fontId="5" fillId="2" borderId="0" xfId="1" applyNumberFormat="1" applyFont="1" applyFill="1" applyAlignment="1">
      <alignment horizontal="center"/>
    </xf>
    <xf numFmtId="0" fontId="13" fillId="0" borderId="12" xfId="10" applyFont="1" applyFill="1" applyBorder="1" applyAlignment="1">
      <alignment horizontal="left" vertical="center"/>
    </xf>
    <xf numFmtId="0" fontId="13" fillId="0" borderId="13" xfId="10" applyFont="1" applyFill="1" applyBorder="1" applyAlignment="1">
      <alignment horizontal="left" vertical="center"/>
    </xf>
    <xf numFmtId="0" fontId="13" fillId="0" borderId="14" xfId="10" applyFont="1" applyFill="1" applyBorder="1" applyAlignment="1">
      <alignment horizontal="left" vertical="center"/>
    </xf>
    <xf numFmtId="0" fontId="13" fillId="0" borderId="15" xfId="10" applyFont="1" applyFill="1" applyBorder="1" applyAlignment="1">
      <alignment horizontal="left" vertical="center"/>
    </xf>
    <xf numFmtId="0" fontId="13" fillId="0" borderId="16" xfId="10" applyFont="1" applyFill="1" applyBorder="1" applyAlignment="1">
      <alignment horizontal="left" vertical="center"/>
    </xf>
    <xf numFmtId="0" fontId="13" fillId="0" borderId="17" xfId="10" applyFont="1" applyFill="1" applyBorder="1" applyAlignment="1">
      <alignment horizontal="left" vertical="center"/>
    </xf>
    <xf numFmtId="1" fontId="10" fillId="4" borderId="2" xfId="5" applyNumberFormat="1" applyFont="1" applyFill="1" applyBorder="1" applyAlignment="1">
      <alignment horizontal="center" vertical="center"/>
    </xf>
    <xf numFmtId="0" fontId="3" fillId="0" borderId="0" xfId="0" applyFont="1" applyBorder="1" applyAlignment="1">
      <alignment horizontal="center" vertical="center"/>
    </xf>
    <xf numFmtId="0" fontId="3" fillId="0" borderId="23" xfId="0" applyFont="1" applyBorder="1" applyAlignment="1">
      <alignment horizontal="center" vertical="center"/>
    </xf>
  </cellXfs>
  <cellStyles count="32">
    <cellStyle name="Comma" xfId="1" builtinId="3"/>
    <cellStyle name="Comma 2" xfId="19"/>
    <cellStyle name="Comma 2 2" xfId="17"/>
    <cellStyle name="Currency" xfId="2" builtinId="4"/>
    <cellStyle name="Currency 2" xfId="15"/>
    <cellStyle name="Currency 3" xfId="16"/>
    <cellStyle name="Input" xfId="7" builtinId="20"/>
    <cellStyle name="Normal" xfId="0" builtinId="0"/>
    <cellStyle name="Normal 10" xfId="20"/>
    <cellStyle name="Normal 11" xfId="18"/>
    <cellStyle name="Normal 12" xfId="21"/>
    <cellStyle name="Normal 2" xfId="12"/>
    <cellStyle name="Normal 2 2" xfId="22"/>
    <cellStyle name="Normal 2 3" xfId="23"/>
    <cellStyle name="Normal 2 3 2" xfId="13"/>
    <cellStyle name="Normal 3" xfId="14"/>
    <cellStyle name="Normal 4" xfId="8"/>
    <cellStyle name="Normal 4 2" xfId="11"/>
    <cellStyle name="Normal 4 2 2" xfId="6"/>
    <cellStyle name="Normal 4 3" xfId="24"/>
    <cellStyle name="Normal 4 3 2" xfId="25"/>
    <cellStyle name="Normal 4 4" xfId="26"/>
    <cellStyle name="Normal 5" xfId="27"/>
    <cellStyle name="Normal 6" xfId="28"/>
    <cellStyle name="Normal 7" xfId="29"/>
    <cellStyle name="Normal 7 2" xfId="4"/>
    <cellStyle name="Normal 8" xfId="30"/>
    <cellStyle name="Normal 9" xfId="31"/>
    <cellStyle name="Note" xfId="5" builtinId="10"/>
    <cellStyle name="Output" xfId="9" builtinId="21"/>
    <cellStyle name="Percent" xfId="3" builtinId="5"/>
    <cellStyle name="Total" xfId="10" builtinId="2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299356</xdr:colOff>
      <xdr:row>1</xdr:row>
      <xdr:rowOff>176893</xdr:rowOff>
    </xdr:from>
    <xdr:to>
      <xdr:col>1</xdr:col>
      <xdr:colOff>745289</xdr:colOff>
      <xdr:row>5</xdr:row>
      <xdr:rowOff>204107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9356" y="462643"/>
          <a:ext cx="1235147" cy="1061357"/>
        </a:xfrm>
        <a:prstGeom prst="rect">
          <a:avLst/>
        </a:prstGeom>
      </xdr:spPr>
    </xdr:pic>
    <xdr:clientData/>
  </xdr:twoCellAnchor>
  <xdr:twoCellAnchor editAs="oneCell">
    <xdr:from>
      <xdr:col>5</xdr:col>
      <xdr:colOff>707571</xdr:colOff>
      <xdr:row>1</xdr:row>
      <xdr:rowOff>204108</xdr:rowOff>
    </xdr:from>
    <xdr:to>
      <xdr:col>10</xdr:col>
      <xdr:colOff>136072</xdr:colOff>
      <xdr:row>6</xdr:row>
      <xdr:rowOff>44423</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5321" y="489858"/>
          <a:ext cx="3741965" cy="11329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7"/>
  <sheetViews>
    <sheetView tabSelected="1" view="pageBreakPreview" zoomScale="70" zoomScaleNormal="70" workbookViewId="0">
      <pane ySplit="8" topLeftCell="A9" activePane="bottomLeft" state="frozen"/>
      <selection pane="bottomLeft" activeCell="W20" sqref="W20"/>
    </sheetView>
  </sheetViews>
  <sheetFormatPr defaultColWidth="8.88671875" defaultRowHeight="15.75"/>
  <cols>
    <col min="1" max="1" width="9.21875" style="4" customWidth="1"/>
    <col min="2" max="2" width="10.109375" style="4" customWidth="1"/>
    <col min="3" max="3" width="9.21875" style="4" customWidth="1"/>
    <col min="4" max="4" width="7.88671875" style="5" customWidth="1"/>
    <col min="5" max="5" width="64.6640625" style="6" customWidth="1"/>
    <col min="6" max="6" width="9.6640625" style="7" customWidth="1"/>
    <col min="7" max="7" width="10.77734375" style="8" customWidth="1"/>
    <col min="8" max="8" width="10.6640625" style="9" customWidth="1"/>
    <col min="9" max="9" width="8.33203125" style="4" customWidth="1"/>
    <col min="10" max="10" width="10.77734375" style="10" customWidth="1"/>
    <col min="11" max="11" width="11.6640625" style="10" customWidth="1"/>
    <col min="12" max="12" width="12.88671875" style="10" customWidth="1"/>
    <col min="13" max="13" width="10.88671875" style="10" customWidth="1"/>
    <col min="14" max="14" width="12.33203125" style="10" customWidth="1"/>
    <col min="15" max="15" width="12.44140625" style="11" customWidth="1"/>
    <col min="16" max="16" width="9.6640625" style="12"/>
    <col min="17" max="17" width="10.33203125" style="12" customWidth="1"/>
    <col min="18" max="16384" width="8.88671875" style="12"/>
  </cols>
  <sheetData>
    <row r="1" spans="1:22" s="1" customFormat="1" ht="22.5">
      <c r="A1" s="93" t="s">
        <v>0</v>
      </c>
      <c r="B1" s="94"/>
      <c r="C1" s="94"/>
      <c r="D1" s="94"/>
      <c r="E1" s="94"/>
      <c r="F1" s="95"/>
      <c r="G1" s="96"/>
      <c r="H1" s="97"/>
      <c r="I1" s="94"/>
      <c r="J1" s="94"/>
      <c r="K1" s="94"/>
      <c r="L1" s="94"/>
      <c r="M1" s="94"/>
      <c r="N1" s="94"/>
      <c r="O1" s="94"/>
    </row>
    <row r="2" spans="1:22" ht="20.25" customHeight="1">
      <c r="A2" s="105"/>
      <c r="B2" s="105"/>
      <c r="C2" s="105"/>
      <c r="D2" s="105"/>
      <c r="E2" s="105"/>
      <c r="F2" s="105"/>
      <c r="G2" s="105"/>
      <c r="H2" s="105"/>
      <c r="I2" s="105"/>
      <c r="J2" s="105"/>
      <c r="K2" s="105"/>
      <c r="L2" s="42"/>
      <c r="M2" s="42"/>
      <c r="N2" s="43"/>
      <c r="O2" s="44"/>
    </row>
    <row r="3" spans="1:22" ht="20.25">
      <c r="A3" s="105"/>
      <c r="B3" s="105"/>
      <c r="C3" s="105"/>
      <c r="D3" s="105"/>
      <c r="E3" s="105"/>
      <c r="F3" s="105"/>
      <c r="G3" s="105"/>
      <c r="H3" s="105"/>
      <c r="I3" s="105"/>
      <c r="J3" s="105"/>
      <c r="K3" s="105"/>
      <c r="M3" s="45" t="s">
        <v>1</v>
      </c>
      <c r="N3" s="45" t="s">
        <v>2</v>
      </c>
      <c r="O3" s="44"/>
    </row>
    <row r="4" spans="1:22" ht="20.25">
      <c r="A4" s="105"/>
      <c r="B4" s="105"/>
      <c r="C4" s="105"/>
      <c r="D4" s="105"/>
      <c r="E4" s="105"/>
      <c r="F4" s="105"/>
      <c r="G4" s="105"/>
      <c r="H4" s="105"/>
      <c r="I4" s="105"/>
      <c r="J4" s="105"/>
      <c r="K4" s="105"/>
      <c r="M4" s="46" t="s">
        <v>3</v>
      </c>
      <c r="N4" s="47">
        <f>N69</f>
        <v>276610.03909049998</v>
      </c>
      <c r="O4" s="44"/>
    </row>
    <row r="5" spans="1:22" ht="20.25">
      <c r="A5" s="105"/>
      <c r="B5" s="105"/>
      <c r="C5" s="105"/>
      <c r="D5" s="105"/>
      <c r="E5" s="105"/>
      <c r="F5" s="105"/>
      <c r="G5" s="105"/>
      <c r="H5" s="105"/>
      <c r="I5" s="105"/>
      <c r="J5" s="105"/>
      <c r="K5" s="105"/>
      <c r="M5" s="46" t="s">
        <v>4</v>
      </c>
      <c r="N5" s="47">
        <f>SUM(O70:O71)</f>
        <v>82983.011727150006</v>
      </c>
      <c r="O5" s="44"/>
    </row>
    <row r="6" spans="1:22" ht="20.25">
      <c r="A6" s="105"/>
      <c r="B6" s="105"/>
      <c r="C6" s="105"/>
      <c r="D6" s="105"/>
      <c r="E6" s="105"/>
      <c r="F6" s="105"/>
      <c r="G6" s="105"/>
      <c r="H6" s="105"/>
      <c r="I6" s="105"/>
      <c r="J6" s="105"/>
      <c r="K6" s="105"/>
      <c r="M6" s="46" t="s">
        <v>5</v>
      </c>
      <c r="N6" s="47">
        <f>N4+N5</f>
        <v>359593.05081764999</v>
      </c>
      <c r="O6" s="44"/>
    </row>
    <row r="7" spans="1:22" ht="16.5" customHeight="1">
      <c r="A7" s="106"/>
      <c r="B7" s="106"/>
      <c r="C7" s="106"/>
      <c r="D7" s="106"/>
      <c r="E7" s="106"/>
      <c r="F7" s="106"/>
      <c r="G7" s="106"/>
      <c r="H7" s="106"/>
      <c r="I7" s="106"/>
      <c r="J7" s="106"/>
      <c r="K7" s="106"/>
      <c r="L7" s="42"/>
      <c r="M7" s="42"/>
      <c r="N7" s="43"/>
      <c r="O7" s="44"/>
    </row>
    <row r="8" spans="1:22" s="2" customFormat="1" ht="47.25">
      <c r="A8" s="19" t="s">
        <v>6</v>
      </c>
      <c r="B8" s="19" t="s">
        <v>7</v>
      </c>
      <c r="C8" s="19" t="s">
        <v>8</v>
      </c>
      <c r="D8" s="19" t="s">
        <v>9</v>
      </c>
      <c r="E8" s="20" t="s">
        <v>10</v>
      </c>
      <c r="F8" s="21" t="s">
        <v>11</v>
      </c>
      <c r="G8" s="20" t="s">
        <v>12</v>
      </c>
      <c r="H8" s="21" t="s">
        <v>13</v>
      </c>
      <c r="I8" s="19" t="s">
        <v>14</v>
      </c>
      <c r="J8" s="48" t="s">
        <v>15</v>
      </c>
      <c r="K8" s="48" t="s">
        <v>16</v>
      </c>
      <c r="L8" s="48" t="s">
        <v>17</v>
      </c>
      <c r="M8" s="48" t="s">
        <v>18</v>
      </c>
      <c r="N8" s="48" t="s">
        <v>19</v>
      </c>
      <c r="O8" s="48" t="s">
        <v>20</v>
      </c>
      <c r="P8" s="49"/>
      <c r="Q8" s="49"/>
      <c r="R8" s="49"/>
      <c r="S8" s="49"/>
      <c r="T8" s="49"/>
      <c r="U8" s="49"/>
      <c r="V8" s="49"/>
    </row>
    <row r="9" spans="1:22" s="3" customFormat="1">
      <c r="A9" s="22"/>
      <c r="B9" s="22"/>
      <c r="C9" s="22"/>
      <c r="D9" s="23" t="s">
        <v>21</v>
      </c>
      <c r="E9" s="24" t="s">
        <v>22</v>
      </c>
      <c r="F9" s="25"/>
      <c r="G9" s="26"/>
      <c r="H9" s="27"/>
      <c r="I9" s="26"/>
      <c r="J9" s="50"/>
      <c r="K9" s="50"/>
      <c r="L9" s="50"/>
      <c r="M9" s="50"/>
      <c r="N9" s="50"/>
      <c r="O9" s="51">
        <f>SUM(N10:N19)</f>
        <v>500</v>
      </c>
      <c r="P9" s="52"/>
    </row>
    <row r="10" spans="1:22" s="3" customFormat="1">
      <c r="A10" s="28"/>
      <c r="B10" s="29"/>
      <c r="C10" s="29"/>
      <c r="D10" s="30"/>
      <c r="E10" s="31"/>
      <c r="F10" s="32"/>
      <c r="G10" s="33"/>
      <c r="H10" s="34"/>
      <c r="I10" s="53"/>
      <c r="J10" s="54"/>
      <c r="K10" s="54"/>
      <c r="L10" s="54"/>
      <c r="M10" s="54"/>
      <c r="N10" s="55"/>
      <c r="O10" s="56"/>
      <c r="P10" s="52"/>
    </row>
    <row r="11" spans="1:22" s="3" customFormat="1">
      <c r="A11" s="29">
        <f>IF(I11&lt;&gt;"",1+MAX($A9:A$9),"")</f>
        <v>1</v>
      </c>
      <c r="B11" s="29"/>
      <c r="C11" s="29"/>
      <c r="D11" s="30"/>
      <c r="E11" s="31" t="s">
        <v>23</v>
      </c>
      <c r="F11" s="35">
        <v>1</v>
      </c>
      <c r="G11" s="36">
        <v>0</v>
      </c>
      <c r="H11" s="37">
        <f t="shared" ref="H11:H18" si="0">F11*(1+G11)</f>
        <v>1</v>
      </c>
      <c r="I11" s="53" t="s">
        <v>24</v>
      </c>
      <c r="J11" s="57">
        <v>0</v>
      </c>
      <c r="K11" s="58">
        <f t="shared" ref="K11:K18" si="1">J11*H11</f>
        <v>0</v>
      </c>
      <c r="L11" s="59">
        <v>0</v>
      </c>
      <c r="M11" s="60">
        <f t="shared" ref="M11:M18" si="2">L11*H11</f>
        <v>0</v>
      </c>
      <c r="N11" s="61">
        <f t="shared" ref="N11:N18" si="3">(J11+L11)*H11</f>
        <v>0</v>
      </c>
      <c r="O11" s="56"/>
      <c r="P11" s="52"/>
    </row>
    <row r="12" spans="1:22" s="3" customFormat="1">
      <c r="A12" s="29">
        <f>IF(I12&lt;&gt;"",1+MAX($A$9:A11),"")</f>
        <v>2</v>
      </c>
      <c r="B12" s="29"/>
      <c r="C12" s="29"/>
      <c r="D12" s="30"/>
      <c r="E12" s="31" t="s">
        <v>25</v>
      </c>
      <c r="F12" s="35">
        <v>1</v>
      </c>
      <c r="G12" s="36">
        <v>0</v>
      </c>
      <c r="H12" s="37">
        <f t="shared" si="0"/>
        <v>1</v>
      </c>
      <c r="I12" s="53" t="s">
        <v>24</v>
      </c>
      <c r="J12" s="57">
        <v>0</v>
      </c>
      <c r="K12" s="58">
        <f t="shared" si="1"/>
        <v>0</v>
      </c>
      <c r="L12" s="59">
        <v>0</v>
      </c>
      <c r="M12" s="60">
        <f t="shared" si="2"/>
        <v>0</v>
      </c>
      <c r="N12" s="61">
        <f t="shared" si="3"/>
        <v>0</v>
      </c>
      <c r="O12" s="56"/>
      <c r="P12" s="52"/>
    </row>
    <row r="13" spans="1:22" s="3" customFormat="1">
      <c r="A13" s="29">
        <f>IF(I13&lt;&gt;"",1+MAX($A$9:A12),"")</f>
        <v>3</v>
      </c>
      <c r="B13" s="29"/>
      <c r="C13" s="29"/>
      <c r="D13" s="30"/>
      <c r="E13" s="31" t="s">
        <v>26</v>
      </c>
      <c r="F13" s="35">
        <v>1</v>
      </c>
      <c r="G13" s="36">
        <v>0</v>
      </c>
      <c r="H13" s="37">
        <f t="shared" si="0"/>
        <v>1</v>
      </c>
      <c r="I13" s="53" t="s">
        <v>24</v>
      </c>
      <c r="J13" s="57">
        <v>0</v>
      </c>
      <c r="K13" s="58">
        <f t="shared" si="1"/>
        <v>0</v>
      </c>
      <c r="L13" s="59">
        <v>500</v>
      </c>
      <c r="M13" s="60">
        <f t="shared" si="2"/>
        <v>500</v>
      </c>
      <c r="N13" s="61">
        <f t="shared" si="3"/>
        <v>500</v>
      </c>
      <c r="O13" s="56"/>
      <c r="P13" s="52"/>
    </row>
    <row r="14" spans="1:22" s="3" customFormat="1">
      <c r="A14" s="29">
        <f>IF(I14&lt;&gt;"",1+MAX($A$9:A13),"")</f>
        <v>4</v>
      </c>
      <c r="B14" s="29"/>
      <c r="C14" s="29"/>
      <c r="D14" s="30"/>
      <c r="E14" s="31" t="s">
        <v>27</v>
      </c>
      <c r="F14" s="35">
        <v>1</v>
      </c>
      <c r="G14" s="36">
        <v>0</v>
      </c>
      <c r="H14" s="37">
        <f t="shared" si="0"/>
        <v>1</v>
      </c>
      <c r="I14" s="53" t="s">
        <v>24</v>
      </c>
      <c r="J14" s="57">
        <v>0</v>
      </c>
      <c r="K14" s="58">
        <f t="shared" si="1"/>
        <v>0</v>
      </c>
      <c r="L14" s="59">
        <v>0</v>
      </c>
      <c r="M14" s="60">
        <f t="shared" si="2"/>
        <v>0</v>
      </c>
      <c r="N14" s="61">
        <f t="shared" si="3"/>
        <v>0</v>
      </c>
      <c r="O14" s="56"/>
      <c r="P14" s="52"/>
    </row>
    <row r="15" spans="1:22" s="3" customFormat="1">
      <c r="A15" s="29">
        <f>IF(I15&lt;&gt;"",1+MAX($A$9:A14),"")</f>
        <v>5</v>
      </c>
      <c r="B15" s="29"/>
      <c r="C15" s="29"/>
      <c r="D15" s="30"/>
      <c r="E15" s="31" t="s">
        <v>28</v>
      </c>
      <c r="F15" s="35">
        <v>1</v>
      </c>
      <c r="G15" s="36">
        <v>0</v>
      </c>
      <c r="H15" s="37">
        <f t="shared" si="0"/>
        <v>1</v>
      </c>
      <c r="I15" s="53" t="s">
        <v>24</v>
      </c>
      <c r="J15" s="57">
        <v>0</v>
      </c>
      <c r="K15" s="58">
        <f t="shared" si="1"/>
        <v>0</v>
      </c>
      <c r="L15" s="59">
        <v>0</v>
      </c>
      <c r="M15" s="60">
        <f t="shared" si="2"/>
        <v>0</v>
      </c>
      <c r="N15" s="61">
        <f t="shared" si="3"/>
        <v>0</v>
      </c>
      <c r="O15" s="56"/>
      <c r="P15" s="52"/>
    </row>
    <row r="16" spans="1:22" s="3" customFormat="1">
      <c r="A16" s="29">
        <f>IF(I16&lt;&gt;"",1+MAX($A$9:A15),"")</f>
        <v>6</v>
      </c>
      <c r="B16" s="29"/>
      <c r="C16" s="29"/>
      <c r="D16" s="30"/>
      <c r="E16" s="31" t="s">
        <v>29</v>
      </c>
      <c r="F16" s="35">
        <v>1</v>
      </c>
      <c r="G16" s="36">
        <v>0</v>
      </c>
      <c r="H16" s="37">
        <f t="shared" si="0"/>
        <v>1</v>
      </c>
      <c r="I16" s="53" t="s">
        <v>24</v>
      </c>
      <c r="J16" s="57">
        <v>0</v>
      </c>
      <c r="K16" s="58">
        <f t="shared" si="1"/>
        <v>0</v>
      </c>
      <c r="L16" s="59">
        <v>0</v>
      </c>
      <c r="M16" s="60">
        <f t="shared" si="2"/>
        <v>0</v>
      </c>
      <c r="N16" s="61">
        <f t="shared" si="3"/>
        <v>0</v>
      </c>
      <c r="O16" s="56"/>
      <c r="P16" s="52"/>
    </row>
    <row r="17" spans="1:16" s="3" customFormat="1">
      <c r="A17" s="29">
        <f>IF(I17&lt;&gt;"",1+MAX($A$9:A16),"")</f>
        <v>7</v>
      </c>
      <c r="B17" s="29"/>
      <c r="C17" s="29"/>
      <c r="D17" s="30"/>
      <c r="E17" s="31" t="s">
        <v>30</v>
      </c>
      <c r="F17" s="35">
        <v>1</v>
      </c>
      <c r="G17" s="36">
        <v>0</v>
      </c>
      <c r="H17" s="37">
        <f t="shared" si="0"/>
        <v>1</v>
      </c>
      <c r="I17" s="53" t="s">
        <v>24</v>
      </c>
      <c r="J17" s="57">
        <v>0</v>
      </c>
      <c r="K17" s="58">
        <f t="shared" si="1"/>
        <v>0</v>
      </c>
      <c r="L17" s="59">
        <v>0</v>
      </c>
      <c r="M17" s="60">
        <f t="shared" si="2"/>
        <v>0</v>
      </c>
      <c r="N17" s="61">
        <f t="shared" si="3"/>
        <v>0</v>
      </c>
      <c r="O17" s="56"/>
      <c r="P17" s="52"/>
    </row>
    <row r="18" spans="1:16" s="3" customFormat="1">
      <c r="A18" s="29">
        <f>IF(I18&lt;&gt;"",1+MAX($A$9:A17),"")</f>
        <v>8</v>
      </c>
      <c r="B18" s="29"/>
      <c r="C18" s="29"/>
      <c r="D18" s="30"/>
      <c r="E18" s="31" t="s">
        <v>31</v>
      </c>
      <c r="F18" s="35">
        <v>1</v>
      </c>
      <c r="G18" s="36">
        <v>0</v>
      </c>
      <c r="H18" s="37">
        <f t="shared" si="0"/>
        <v>1</v>
      </c>
      <c r="I18" s="62" t="s">
        <v>24</v>
      </c>
      <c r="J18" s="57">
        <v>0</v>
      </c>
      <c r="K18" s="58">
        <f t="shared" si="1"/>
        <v>0</v>
      </c>
      <c r="L18" s="59">
        <v>0</v>
      </c>
      <c r="M18" s="60">
        <f t="shared" si="2"/>
        <v>0</v>
      </c>
      <c r="N18" s="61">
        <f t="shared" si="3"/>
        <v>0</v>
      </c>
      <c r="O18" s="56"/>
      <c r="P18" s="52"/>
    </row>
    <row r="19" spans="1:16" s="3" customFormat="1">
      <c r="A19" s="29" t="str">
        <f>IF(I19&lt;&gt;"",1+MAX($A$9:A18),"")</f>
        <v/>
      </c>
      <c r="B19" s="29"/>
      <c r="C19" s="29"/>
      <c r="D19" s="30"/>
      <c r="E19" s="31"/>
      <c r="F19" s="32"/>
      <c r="G19" s="33"/>
      <c r="H19" s="34"/>
      <c r="I19" s="53"/>
      <c r="J19" s="63"/>
      <c r="K19" s="63"/>
      <c r="L19" s="54"/>
      <c r="M19" s="54"/>
      <c r="N19" s="55"/>
      <c r="O19" s="56"/>
      <c r="P19" s="52"/>
    </row>
    <row r="20" spans="1:16" s="3" customFormat="1">
      <c r="A20" s="22"/>
      <c r="B20" s="22"/>
      <c r="C20" s="22"/>
      <c r="D20" s="23" t="s">
        <v>32</v>
      </c>
      <c r="E20" s="24" t="s">
        <v>33</v>
      </c>
      <c r="F20" s="25"/>
      <c r="G20" s="26"/>
      <c r="H20" s="27"/>
      <c r="I20" s="26"/>
      <c r="J20" s="50"/>
      <c r="K20" s="50"/>
      <c r="L20" s="50"/>
      <c r="M20" s="50"/>
      <c r="N20" s="50"/>
      <c r="O20" s="51">
        <f>SUM(N21:N28)</f>
        <v>68046.406900000002</v>
      </c>
      <c r="P20" s="52"/>
    </row>
    <row r="21" spans="1:16" s="3" customFormat="1">
      <c r="A21" s="29" t="str">
        <f>IF(I21&lt;&gt;"",1+MAX($A$9:A20),"")</f>
        <v/>
      </c>
      <c r="B21" s="38"/>
      <c r="C21" s="29"/>
      <c r="D21" s="30"/>
      <c r="E21" s="31"/>
      <c r="F21" s="32"/>
      <c r="G21" s="33"/>
      <c r="H21" s="34"/>
      <c r="I21" s="53"/>
      <c r="J21" s="54"/>
      <c r="K21" s="54"/>
      <c r="L21" s="54"/>
      <c r="M21" s="54"/>
      <c r="N21" s="55"/>
      <c r="O21" s="56"/>
      <c r="P21" s="52"/>
    </row>
    <row r="22" spans="1:16" s="3" customFormat="1">
      <c r="A22" s="29" t="str">
        <f>IF(I22&lt;&gt;"",1+MAX($A$9:A21),"")</f>
        <v/>
      </c>
      <c r="B22" s="39"/>
      <c r="C22" s="29"/>
      <c r="D22" s="30"/>
      <c r="E22" s="40" t="s">
        <v>34</v>
      </c>
      <c r="F22" s="35"/>
      <c r="G22" s="33"/>
      <c r="H22" s="37"/>
      <c r="I22" s="53"/>
      <c r="J22" s="57"/>
      <c r="K22" s="58"/>
      <c r="L22" s="59"/>
      <c r="M22" s="60"/>
      <c r="N22" s="61"/>
      <c r="O22" s="56"/>
      <c r="P22" s="52"/>
    </row>
    <row r="23" spans="1:16" s="3" customFormat="1">
      <c r="A23" s="29" t="str">
        <f>IF(I23&lt;&gt;"",1+MAX($A$9:A22),"")</f>
        <v/>
      </c>
      <c r="B23" s="104" t="s">
        <v>35</v>
      </c>
      <c r="C23" s="29"/>
      <c r="D23" s="30"/>
      <c r="E23" s="31" t="s">
        <v>36</v>
      </c>
      <c r="F23" s="35"/>
      <c r="G23" s="33"/>
      <c r="H23" s="37"/>
      <c r="I23" s="53"/>
      <c r="J23" s="57"/>
      <c r="K23" s="58"/>
      <c r="L23" s="59"/>
      <c r="M23" s="60"/>
      <c r="N23" s="61"/>
      <c r="O23" s="56"/>
      <c r="P23" s="52"/>
    </row>
    <row r="24" spans="1:16" s="3" customFormat="1" ht="78.75">
      <c r="A24" s="29">
        <f>IF(I24&lt;&gt;"",1+MAX($A$9:A23),"")</f>
        <v>9</v>
      </c>
      <c r="B24" s="104"/>
      <c r="C24" s="29"/>
      <c r="D24" s="30"/>
      <c r="E24" s="31" t="s">
        <v>37</v>
      </c>
      <c r="F24" s="35">
        <v>6863</v>
      </c>
      <c r="G24" s="33">
        <v>0</v>
      </c>
      <c r="H24" s="37">
        <f t="shared" ref="H24:H27" si="4">F24*(1+G24)</f>
        <v>6863</v>
      </c>
      <c r="I24" s="53" t="s">
        <v>38</v>
      </c>
      <c r="J24" s="57">
        <v>0</v>
      </c>
      <c r="K24" s="58">
        <f t="shared" ref="K24:K27" si="5">J24*H24</f>
        <v>0</v>
      </c>
      <c r="L24" s="59">
        <v>1.56</v>
      </c>
      <c r="M24" s="60">
        <f t="shared" ref="M24:M27" si="6">L24*H24</f>
        <v>10706.28</v>
      </c>
      <c r="N24" s="61">
        <f t="shared" ref="N24:N27" si="7">(J24+L24)*H24</f>
        <v>10706.28</v>
      </c>
      <c r="O24" s="56"/>
      <c r="P24" s="52"/>
    </row>
    <row r="25" spans="1:16" s="3" customFormat="1" ht="78.75">
      <c r="A25" s="29">
        <f>IF(I25&lt;&gt;"",1+MAX($A$9:A24),"")</f>
        <v>10</v>
      </c>
      <c r="B25" s="104"/>
      <c r="C25" s="29"/>
      <c r="D25" s="30"/>
      <c r="E25" s="31" t="s">
        <v>39</v>
      </c>
      <c r="F25" s="35">
        <v>30418</v>
      </c>
      <c r="G25" s="33">
        <v>0</v>
      </c>
      <c r="H25" s="37">
        <f t="shared" si="4"/>
        <v>30418</v>
      </c>
      <c r="I25" s="53" t="s">
        <v>38</v>
      </c>
      <c r="J25" s="57">
        <v>0</v>
      </c>
      <c r="K25" s="58">
        <f t="shared" si="5"/>
        <v>0</v>
      </c>
      <c r="L25" s="59">
        <v>1.66</v>
      </c>
      <c r="M25" s="60">
        <f t="shared" si="6"/>
        <v>50493.88</v>
      </c>
      <c r="N25" s="61">
        <f t="shared" si="7"/>
        <v>50493.88</v>
      </c>
      <c r="O25" s="56"/>
      <c r="P25" s="52"/>
    </row>
    <row r="26" spans="1:16" s="3" customFormat="1">
      <c r="A26" s="29">
        <f>IF(I26&lt;&gt;"",1+MAX($A$9:A25),"")</f>
        <v>11</v>
      </c>
      <c r="B26" s="104"/>
      <c r="C26" s="29"/>
      <c r="D26" s="30"/>
      <c r="E26" s="31" t="s">
        <v>40</v>
      </c>
      <c r="F26" s="35">
        <v>1142.72</v>
      </c>
      <c r="G26" s="33">
        <v>0</v>
      </c>
      <c r="H26" s="37">
        <f t="shared" si="4"/>
        <v>1142.72</v>
      </c>
      <c r="I26" s="53" t="s">
        <v>41</v>
      </c>
      <c r="J26" s="57">
        <v>0</v>
      </c>
      <c r="K26" s="58">
        <f t="shared" si="5"/>
        <v>0</v>
      </c>
      <c r="L26" s="59">
        <v>2.2000000000000002</v>
      </c>
      <c r="M26" s="60">
        <f t="shared" si="6"/>
        <v>2513.9839999999999</v>
      </c>
      <c r="N26" s="61">
        <f t="shared" si="7"/>
        <v>2513.9839999999999</v>
      </c>
      <c r="O26" s="56"/>
      <c r="P26" s="52"/>
    </row>
    <row r="27" spans="1:16" s="3" customFormat="1">
      <c r="A27" s="29">
        <f>IF(I27&lt;&gt;"",1+MAX($A$9:A26),"")</f>
        <v>12</v>
      </c>
      <c r="B27" s="104"/>
      <c r="C27" s="29"/>
      <c r="D27" s="30"/>
      <c r="E27" s="31" t="s">
        <v>42</v>
      </c>
      <c r="F27" s="35">
        <v>5037.5150000000003</v>
      </c>
      <c r="G27" s="33">
        <v>0</v>
      </c>
      <c r="H27" s="37">
        <f t="shared" si="4"/>
        <v>5037.5150000000003</v>
      </c>
      <c r="I27" s="53" t="s">
        <v>38</v>
      </c>
      <c r="J27" s="57">
        <v>0</v>
      </c>
      <c r="K27" s="58">
        <f t="shared" si="5"/>
        <v>0</v>
      </c>
      <c r="L27" s="59">
        <v>0.86</v>
      </c>
      <c r="M27" s="60">
        <f t="shared" si="6"/>
        <v>4332.2628999999997</v>
      </c>
      <c r="N27" s="61">
        <f t="shared" si="7"/>
        <v>4332.2628999999997</v>
      </c>
      <c r="O27" s="56"/>
      <c r="P27" s="52"/>
    </row>
    <row r="28" spans="1:16" s="3" customFormat="1">
      <c r="A28" s="29" t="str">
        <f>IF(I28&lt;&gt;"",1+MAX($A$9:A27),"")</f>
        <v/>
      </c>
      <c r="B28" s="41"/>
      <c r="C28" s="29"/>
      <c r="D28" s="30"/>
      <c r="E28" s="31"/>
      <c r="F28" s="32"/>
      <c r="G28" s="33"/>
      <c r="H28" s="34"/>
      <c r="I28" s="53"/>
      <c r="J28" s="63"/>
      <c r="K28" s="63"/>
      <c r="L28" s="54"/>
      <c r="M28" s="54"/>
      <c r="N28" s="55"/>
      <c r="O28" s="56"/>
      <c r="P28" s="52"/>
    </row>
    <row r="29" spans="1:16" s="3" customFormat="1">
      <c r="A29" s="22"/>
      <c r="B29" s="22"/>
      <c r="C29" s="22"/>
      <c r="D29" s="23" t="s">
        <v>43</v>
      </c>
      <c r="E29" s="24" t="s">
        <v>44</v>
      </c>
      <c r="F29" s="25"/>
      <c r="G29" s="26"/>
      <c r="H29" s="27"/>
      <c r="I29" s="26"/>
      <c r="J29" s="50"/>
      <c r="K29" s="50"/>
      <c r="L29" s="50"/>
      <c r="M29" s="50"/>
      <c r="N29" s="50"/>
      <c r="O29" s="51">
        <f>SUM(N30:N68)</f>
        <v>208063.63219050001</v>
      </c>
      <c r="P29" s="52"/>
    </row>
    <row r="30" spans="1:16" s="3" customFormat="1">
      <c r="A30" s="29" t="str">
        <f>IF(I30&lt;&gt;"",1+MAX($A$9:A29),"")</f>
        <v/>
      </c>
      <c r="B30" s="38"/>
      <c r="C30" s="29"/>
      <c r="D30" s="30"/>
      <c r="E30" s="31" t="s">
        <v>36</v>
      </c>
      <c r="F30" s="32"/>
      <c r="G30" s="33"/>
      <c r="H30" s="34"/>
      <c r="I30" s="53"/>
      <c r="J30" s="54"/>
      <c r="K30" s="54"/>
      <c r="L30" s="54"/>
      <c r="M30" s="54"/>
      <c r="N30" s="55"/>
      <c r="O30" s="56"/>
      <c r="P30" s="52"/>
    </row>
    <row r="31" spans="1:16" s="3" customFormat="1">
      <c r="A31" s="29" t="str">
        <f>IF(I31&lt;&gt;"",1+MAX($A$9:A30),"")</f>
        <v/>
      </c>
      <c r="B31" s="39"/>
      <c r="C31" s="29"/>
      <c r="D31" s="30"/>
      <c r="E31" s="40" t="s">
        <v>45</v>
      </c>
      <c r="F31" s="35"/>
      <c r="G31" s="33"/>
      <c r="H31" s="37"/>
      <c r="I31" s="53"/>
      <c r="J31" s="57"/>
      <c r="K31" s="58"/>
      <c r="L31" s="59"/>
      <c r="M31" s="60"/>
      <c r="N31" s="61"/>
      <c r="O31" s="56"/>
      <c r="P31" s="52"/>
    </row>
    <row r="32" spans="1:16" s="3" customFormat="1">
      <c r="A32" s="29" t="str">
        <f>IF(I32&lt;&gt;"",1+MAX($A$9:A31),"")</f>
        <v/>
      </c>
      <c r="B32" s="104" t="s">
        <v>35</v>
      </c>
      <c r="C32" s="29"/>
      <c r="D32" s="30"/>
      <c r="E32" s="31" t="s">
        <v>36</v>
      </c>
      <c r="F32" s="35"/>
      <c r="G32" s="33"/>
      <c r="H32" s="37"/>
      <c r="I32" s="53"/>
      <c r="J32" s="57"/>
      <c r="K32" s="58"/>
      <c r="L32" s="59"/>
      <c r="M32" s="60"/>
      <c r="N32" s="61"/>
      <c r="O32" s="56"/>
      <c r="P32" s="52"/>
    </row>
    <row r="33" spans="1:16" s="3" customFormat="1" ht="110.25">
      <c r="A33" s="29">
        <f>IF(I33&lt;&gt;"",1+MAX($A$9:A32),"")</f>
        <v>13</v>
      </c>
      <c r="B33" s="104"/>
      <c r="C33" s="29"/>
      <c r="D33" s="30"/>
      <c r="E33" s="31" t="s">
        <v>46</v>
      </c>
      <c r="F33" s="35">
        <v>37281</v>
      </c>
      <c r="G33" s="33">
        <v>0.05</v>
      </c>
      <c r="H33" s="37">
        <f t="shared" ref="H33:H35" si="8">F33*(1+G33)</f>
        <v>39145.050000000003</v>
      </c>
      <c r="I33" s="53" t="s">
        <v>38</v>
      </c>
      <c r="J33" s="57">
        <v>1.52</v>
      </c>
      <c r="K33" s="58">
        <f t="shared" ref="K33:K34" si="9">J33*H33</f>
        <v>59500.476000000002</v>
      </c>
      <c r="L33" s="59">
        <f>1.98-1.52</f>
        <v>0.46</v>
      </c>
      <c r="M33" s="60">
        <f t="shared" ref="M33:M35" si="10">L33*H33</f>
        <v>18006.723000000002</v>
      </c>
      <c r="N33" s="61">
        <f t="shared" ref="N33:N35" si="11">(J33+L33)*H33</f>
        <v>77507.198999999993</v>
      </c>
      <c r="O33" s="56"/>
      <c r="P33" s="52"/>
    </row>
    <row r="34" spans="1:16" s="3" customFormat="1" ht="63">
      <c r="A34" s="29">
        <f>IF(I34&lt;&gt;"",1+MAX($A$9:A33),"")</f>
        <v>14</v>
      </c>
      <c r="B34" s="104"/>
      <c r="C34" s="29"/>
      <c r="D34" s="30"/>
      <c r="E34" s="31" t="s">
        <v>47</v>
      </c>
      <c r="F34" s="35">
        <v>37281</v>
      </c>
      <c r="G34" s="33">
        <v>0.05</v>
      </c>
      <c r="H34" s="37">
        <f t="shared" si="8"/>
        <v>39145.050000000003</v>
      </c>
      <c r="I34" s="53" t="s">
        <v>38</v>
      </c>
      <c r="J34" s="57">
        <v>0.26</v>
      </c>
      <c r="K34" s="58">
        <f t="shared" si="9"/>
        <v>10177.713</v>
      </c>
      <c r="L34" s="59">
        <v>0.54</v>
      </c>
      <c r="M34" s="60">
        <f t="shared" si="10"/>
        <v>21138.327000000001</v>
      </c>
      <c r="N34" s="61">
        <f t="shared" si="11"/>
        <v>31316.04</v>
      </c>
      <c r="O34" s="56"/>
      <c r="P34" s="52"/>
    </row>
    <row r="35" spans="1:16" s="3" customFormat="1">
      <c r="A35" s="29">
        <f>IF(I35&lt;&gt;"",1+MAX($A$9:A34),"")</f>
        <v>15</v>
      </c>
      <c r="B35" s="104"/>
      <c r="C35" s="29"/>
      <c r="D35" s="30"/>
      <c r="E35" s="31" t="s">
        <v>48</v>
      </c>
      <c r="F35" s="35">
        <v>6518.91</v>
      </c>
      <c r="G35" s="33">
        <v>0.05</v>
      </c>
      <c r="H35" s="37">
        <f t="shared" si="8"/>
        <v>6844.8554999999997</v>
      </c>
      <c r="I35" s="53" t="s">
        <v>38</v>
      </c>
      <c r="J35" s="57">
        <v>1.52</v>
      </c>
      <c r="K35" s="58">
        <f t="shared" ref="K35" si="12">J35*H35</f>
        <v>10404.18036</v>
      </c>
      <c r="L35" s="59">
        <f>1.98-1.52</f>
        <v>0.46</v>
      </c>
      <c r="M35" s="60">
        <f t="shared" si="10"/>
        <v>3148.6335300000001</v>
      </c>
      <c r="N35" s="61">
        <f t="shared" si="11"/>
        <v>13552.813889999999</v>
      </c>
      <c r="O35" s="56"/>
      <c r="P35" s="52"/>
    </row>
    <row r="36" spans="1:16" s="3" customFormat="1">
      <c r="A36" s="29" t="str">
        <f>IF(I36&lt;&gt;"",1+MAX($A$9:A35),"")</f>
        <v/>
      </c>
      <c r="B36" s="104"/>
      <c r="C36" s="29"/>
      <c r="D36" s="30"/>
      <c r="E36" s="31" t="s">
        <v>36</v>
      </c>
      <c r="F36" s="35"/>
      <c r="G36" s="33"/>
      <c r="H36" s="37"/>
      <c r="I36" s="53"/>
      <c r="J36" s="57"/>
      <c r="K36" s="58"/>
      <c r="L36" s="59"/>
      <c r="M36" s="60"/>
      <c r="N36" s="61"/>
      <c r="O36" s="56"/>
      <c r="P36" s="52"/>
    </row>
    <row r="37" spans="1:16" s="3" customFormat="1">
      <c r="A37" s="29" t="str">
        <f>IF(I37&lt;&gt;"",1+MAX($A$9:A36),"")</f>
        <v/>
      </c>
      <c r="B37" s="104"/>
      <c r="C37" s="29"/>
      <c r="D37" s="30"/>
      <c r="E37" s="40" t="s">
        <v>49</v>
      </c>
      <c r="F37" s="35"/>
      <c r="G37" s="33"/>
      <c r="H37" s="37"/>
      <c r="I37" s="53"/>
      <c r="J37" s="57"/>
      <c r="K37" s="58"/>
      <c r="L37" s="59"/>
      <c r="M37" s="60"/>
      <c r="N37" s="61"/>
      <c r="O37" s="56"/>
      <c r="P37" s="52"/>
    </row>
    <row r="38" spans="1:16" s="3" customFormat="1">
      <c r="A38" s="29" t="str">
        <f>IF(I38&lt;&gt;"",1+MAX($A$9:A37),"")</f>
        <v/>
      </c>
      <c r="B38" s="104"/>
      <c r="C38" s="29"/>
      <c r="D38" s="30"/>
      <c r="E38" s="31" t="s">
        <v>36</v>
      </c>
      <c r="F38" s="35"/>
      <c r="G38" s="33"/>
      <c r="H38" s="37"/>
      <c r="I38" s="53"/>
      <c r="J38" s="57"/>
      <c r="K38" s="58"/>
      <c r="L38" s="59"/>
      <c r="M38" s="60"/>
      <c r="N38" s="61"/>
      <c r="O38" s="56"/>
      <c r="P38" s="52"/>
    </row>
    <row r="39" spans="1:16" s="3" customFormat="1">
      <c r="A39" s="29">
        <f>IF(I39&lt;&gt;"",1+MAX($A$9:A38),"")</f>
        <v>16</v>
      </c>
      <c r="B39" s="104"/>
      <c r="C39" s="29"/>
      <c r="D39" s="30"/>
      <c r="E39" s="31" t="s">
        <v>50</v>
      </c>
      <c r="F39" s="35">
        <v>677.34</v>
      </c>
      <c r="G39" s="33">
        <v>0.05</v>
      </c>
      <c r="H39" s="37">
        <f t="shared" ref="H39:H44" si="13">F39*(1+G39)</f>
        <v>711.20699999999999</v>
      </c>
      <c r="I39" s="53" t="s">
        <v>41</v>
      </c>
      <c r="J39" s="57">
        <v>2.2400000000000002</v>
      </c>
      <c r="K39" s="58">
        <f t="shared" ref="K39:K44" si="14">J39*H39</f>
        <v>1593.1036799999999</v>
      </c>
      <c r="L39" s="59">
        <v>1.03</v>
      </c>
      <c r="M39" s="60">
        <f t="shared" ref="M39:M44" si="15">L39*H39</f>
        <v>732.54321000000004</v>
      </c>
      <c r="N39" s="61">
        <f t="shared" ref="N39:N44" si="16">(J39+L39)*H39</f>
        <v>2325.64689</v>
      </c>
      <c r="O39" s="56"/>
      <c r="P39" s="52"/>
    </row>
    <row r="40" spans="1:16" s="3" customFormat="1">
      <c r="A40" s="29">
        <f>IF(I40&lt;&gt;"",1+MAX($A$9:A39),"")</f>
        <v>17</v>
      </c>
      <c r="B40" s="104"/>
      <c r="C40" s="29"/>
      <c r="D40" s="30"/>
      <c r="E40" s="31" t="s">
        <v>51</v>
      </c>
      <c r="F40" s="35">
        <v>338.67</v>
      </c>
      <c r="G40" s="33">
        <v>0.05</v>
      </c>
      <c r="H40" s="37">
        <f t="shared" si="13"/>
        <v>355.6035</v>
      </c>
      <c r="I40" s="53" t="s">
        <v>38</v>
      </c>
      <c r="J40" s="57">
        <v>2.2400000000000002</v>
      </c>
      <c r="K40" s="58">
        <f t="shared" ref="K40" si="17">J40*H40</f>
        <v>796.55183999999997</v>
      </c>
      <c r="L40" s="59">
        <v>1.03</v>
      </c>
      <c r="M40" s="60">
        <f t="shared" si="15"/>
        <v>366.27160500000002</v>
      </c>
      <c r="N40" s="61">
        <f t="shared" si="16"/>
        <v>1162.823445</v>
      </c>
      <c r="O40" s="56"/>
      <c r="P40" s="52"/>
    </row>
    <row r="41" spans="1:16" s="3" customFormat="1">
      <c r="A41" s="29">
        <f>IF(I41&lt;&gt;"",1+MAX($A$9:A40),"")</f>
        <v>18</v>
      </c>
      <c r="B41" s="104"/>
      <c r="C41" s="29"/>
      <c r="D41" s="30"/>
      <c r="E41" s="31" t="s">
        <v>52</v>
      </c>
      <c r="F41" s="35">
        <v>338.67</v>
      </c>
      <c r="G41" s="33">
        <v>0.05</v>
      </c>
      <c r="H41" s="37">
        <f t="shared" si="13"/>
        <v>355.6035</v>
      </c>
      <c r="I41" s="53" t="s">
        <v>38</v>
      </c>
      <c r="J41" s="57">
        <v>1.68</v>
      </c>
      <c r="K41" s="58">
        <f t="shared" si="14"/>
        <v>597.41387999999995</v>
      </c>
      <c r="L41" s="59">
        <v>0.59</v>
      </c>
      <c r="M41" s="60">
        <f t="shared" si="15"/>
        <v>209.80606499999999</v>
      </c>
      <c r="N41" s="61">
        <f t="shared" si="16"/>
        <v>807.21994500000005</v>
      </c>
      <c r="O41" s="56"/>
      <c r="P41" s="52"/>
    </row>
    <row r="42" spans="1:16" s="3" customFormat="1" ht="31.5">
      <c r="A42" s="29">
        <f>IF(I42&lt;&gt;"",1+MAX($A$9:A41),"")</f>
        <v>19</v>
      </c>
      <c r="B42" s="104"/>
      <c r="C42" s="29"/>
      <c r="D42" s="30"/>
      <c r="E42" s="31" t="s">
        <v>53</v>
      </c>
      <c r="F42" s="35">
        <v>677.34</v>
      </c>
      <c r="G42" s="33">
        <v>0.05</v>
      </c>
      <c r="H42" s="37">
        <f t="shared" si="13"/>
        <v>711.20699999999999</v>
      </c>
      <c r="I42" s="53" t="s">
        <v>38</v>
      </c>
      <c r="J42" s="57">
        <v>1.85</v>
      </c>
      <c r="K42" s="58">
        <f t="shared" si="14"/>
        <v>1315.7329500000001</v>
      </c>
      <c r="L42" s="59">
        <v>0.96</v>
      </c>
      <c r="M42" s="60">
        <f t="shared" si="15"/>
        <v>682.75872000000004</v>
      </c>
      <c r="N42" s="61">
        <f t="shared" si="16"/>
        <v>1998.4916700000001</v>
      </c>
      <c r="O42" s="56"/>
      <c r="P42" s="52"/>
    </row>
    <row r="43" spans="1:16" s="3" customFormat="1">
      <c r="A43" s="29">
        <f>IF(I43&lt;&gt;"",1+MAX($A$9:A42),"")</f>
        <v>20</v>
      </c>
      <c r="B43" s="104"/>
      <c r="C43" s="29"/>
      <c r="D43" s="30"/>
      <c r="E43" s="31" t="s">
        <v>54</v>
      </c>
      <c r="F43" s="35">
        <v>677.34</v>
      </c>
      <c r="G43" s="33">
        <v>0.05</v>
      </c>
      <c r="H43" s="37">
        <f t="shared" si="13"/>
        <v>711.20699999999999</v>
      </c>
      <c r="I43" s="53" t="s">
        <v>41</v>
      </c>
      <c r="J43" s="57">
        <v>1.46</v>
      </c>
      <c r="K43" s="58">
        <f t="shared" si="14"/>
        <v>1038.36222</v>
      </c>
      <c r="L43" s="59">
        <v>3.5</v>
      </c>
      <c r="M43" s="60">
        <f t="shared" si="15"/>
        <v>2489.2244999999998</v>
      </c>
      <c r="N43" s="61">
        <f t="shared" si="16"/>
        <v>3527.5867199999998</v>
      </c>
      <c r="O43" s="56"/>
      <c r="P43" s="52"/>
    </row>
    <row r="44" spans="1:16" s="3" customFormat="1">
      <c r="A44" s="29">
        <f>IF(I44&lt;&gt;"",1+MAX($A$9:A43),"")</f>
        <v>21</v>
      </c>
      <c r="B44" s="104"/>
      <c r="C44" s="29"/>
      <c r="D44" s="30"/>
      <c r="E44" s="31" t="s">
        <v>55</v>
      </c>
      <c r="F44" s="35">
        <v>338.67</v>
      </c>
      <c r="G44" s="33">
        <v>0.05</v>
      </c>
      <c r="H44" s="37">
        <f t="shared" si="13"/>
        <v>355.6035</v>
      </c>
      <c r="I44" s="53" t="s">
        <v>41</v>
      </c>
      <c r="J44" s="57">
        <v>3.68</v>
      </c>
      <c r="K44" s="58">
        <f t="shared" si="14"/>
        <v>1308.6208799999999</v>
      </c>
      <c r="L44" s="59">
        <v>6.77</v>
      </c>
      <c r="M44" s="60">
        <f t="shared" si="15"/>
        <v>2407.4356950000001</v>
      </c>
      <c r="N44" s="61">
        <f t="shared" si="16"/>
        <v>3716.0565750000001</v>
      </c>
      <c r="O44" s="56"/>
      <c r="P44" s="52"/>
    </row>
    <row r="45" spans="1:16" s="3" customFormat="1">
      <c r="A45" s="29" t="str">
        <f>IF(I45&lt;&gt;"",1+MAX($A$9:A44),"")</f>
        <v/>
      </c>
      <c r="B45" s="104"/>
      <c r="C45" s="29"/>
      <c r="D45" s="30"/>
      <c r="E45" s="31" t="s">
        <v>36</v>
      </c>
      <c r="F45" s="35"/>
      <c r="G45" s="33"/>
      <c r="H45" s="37"/>
      <c r="I45" s="53"/>
      <c r="J45" s="57"/>
      <c r="K45" s="58"/>
      <c r="L45" s="59"/>
      <c r="M45" s="60"/>
      <c r="N45" s="61"/>
      <c r="O45" s="56"/>
      <c r="P45" s="52"/>
    </row>
    <row r="46" spans="1:16" s="3" customFormat="1">
      <c r="A46" s="29" t="str">
        <f>IF(I46&lt;&gt;"",1+MAX($A$9:A45),"")</f>
        <v/>
      </c>
      <c r="B46" s="104"/>
      <c r="C46" s="29"/>
      <c r="D46" s="30"/>
      <c r="E46" s="40" t="s">
        <v>56</v>
      </c>
      <c r="F46" s="35"/>
      <c r="G46" s="33"/>
      <c r="H46" s="37"/>
      <c r="I46" s="53"/>
      <c r="J46" s="57"/>
      <c r="K46" s="58"/>
      <c r="L46" s="59"/>
      <c r="M46" s="60"/>
      <c r="N46" s="61"/>
      <c r="O46" s="56"/>
      <c r="P46" s="52"/>
    </row>
    <row r="47" spans="1:16" s="3" customFormat="1">
      <c r="A47" s="29" t="str">
        <f>IF(I47&lt;&gt;"",1+MAX($A$9:A46),"")</f>
        <v/>
      </c>
      <c r="B47" s="104"/>
      <c r="C47" s="29"/>
      <c r="D47" s="30"/>
      <c r="E47" s="31" t="s">
        <v>36</v>
      </c>
      <c r="F47" s="35"/>
      <c r="G47" s="33"/>
      <c r="H47" s="37"/>
      <c r="I47" s="53"/>
      <c r="J47" s="57"/>
      <c r="K47" s="58"/>
      <c r="L47" s="59"/>
      <c r="M47" s="60"/>
      <c r="N47" s="61"/>
      <c r="O47" s="56"/>
      <c r="P47" s="52"/>
    </row>
    <row r="48" spans="1:16" s="3" customFormat="1" ht="94.5">
      <c r="A48" s="29">
        <f>IF(I48&lt;&gt;"",1+MAX($A$9:A47),"")</f>
        <v>22</v>
      </c>
      <c r="B48" s="104"/>
      <c r="C48" s="29"/>
      <c r="D48" s="30"/>
      <c r="E48" s="31" t="s">
        <v>57</v>
      </c>
      <c r="F48" s="35">
        <v>1</v>
      </c>
      <c r="G48" s="33">
        <v>0</v>
      </c>
      <c r="H48" s="37">
        <f t="shared" ref="H48:H55" si="18">F48*(1+G48)</f>
        <v>1</v>
      </c>
      <c r="I48" s="53" t="s">
        <v>24</v>
      </c>
      <c r="J48" s="57">
        <v>0</v>
      </c>
      <c r="K48" s="58">
        <f t="shared" ref="K48:K55" si="19">J48*H48</f>
        <v>0</v>
      </c>
      <c r="L48" s="59">
        <v>500</v>
      </c>
      <c r="M48" s="60">
        <f t="shared" ref="M48:M55" si="20">L48*H48</f>
        <v>500</v>
      </c>
      <c r="N48" s="61">
        <f t="shared" ref="N48:N55" si="21">(J48+L48)*H48</f>
        <v>500</v>
      </c>
      <c r="O48" s="56"/>
      <c r="P48" s="52"/>
    </row>
    <row r="49" spans="1:16" s="3" customFormat="1" ht="78.75">
      <c r="A49" s="29">
        <f>IF(I49&lt;&gt;"",1+MAX($A$9:A48),"")</f>
        <v>23</v>
      </c>
      <c r="B49" s="104"/>
      <c r="C49" s="29"/>
      <c r="D49" s="30"/>
      <c r="E49" s="31" t="s">
        <v>58</v>
      </c>
      <c r="F49" s="35">
        <v>1142.72</v>
      </c>
      <c r="G49" s="33">
        <v>0.05</v>
      </c>
      <c r="H49" s="37">
        <f t="shared" si="18"/>
        <v>1199.856</v>
      </c>
      <c r="I49" s="53" t="s">
        <v>41</v>
      </c>
      <c r="J49" s="57">
        <v>3.6779999999999999</v>
      </c>
      <c r="K49" s="58">
        <f t="shared" si="19"/>
        <v>4413.0703679999997</v>
      </c>
      <c r="L49" s="59">
        <v>1.65</v>
      </c>
      <c r="M49" s="60">
        <f t="shared" si="20"/>
        <v>1979.7624000000001</v>
      </c>
      <c r="N49" s="61">
        <f t="shared" si="21"/>
        <v>6392.8327680000002</v>
      </c>
      <c r="O49" s="56"/>
      <c r="P49" s="52"/>
    </row>
    <row r="50" spans="1:16" s="3" customFormat="1" ht="94.5">
      <c r="A50" s="29">
        <f>IF(I50&lt;&gt;"",1+MAX($A$9:A49),"")</f>
        <v>24</v>
      </c>
      <c r="B50" s="104"/>
      <c r="C50" s="29"/>
      <c r="D50" s="30"/>
      <c r="E50" s="31" t="s">
        <v>59</v>
      </c>
      <c r="F50" s="35">
        <v>1142.72</v>
      </c>
      <c r="G50" s="33">
        <v>0.05</v>
      </c>
      <c r="H50" s="37">
        <f t="shared" si="18"/>
        <v>1199.856</v>
      </c>
      <c r="I50" s="53" t="s">
        <v>41</v>
      </c>
      <c r="J50" s="57">
        <v>2.54</v>
      </c>
      <c r="K50" s="58">
        <f t="shared" si="19"/>
        <v>3047.6342399999999</v>
      </c>
      <c r="L50" s="59">
        <v>1.22</v>
      </c>
      <c r="M50" s="60">
        <f t="shared" si="20"/>
        <v>1463.8243199999999</v>
      </c>
      <c r="N50" s="61">
        <f t="shared" si="21"/>
        <v>4511.45856</v>
      </c>
      <c r="O50" s="56"/>
      <c r="P50" s="52"/>
    </row>
    <row r="51" spans="1:16" s="3" customFormat="1" ht="47.25">
      <c r="A51" s="29">
        <f>IF(I51&lt;&gt;"",1+MAX($A$9:A50),"")</f>
        <v>25</v>
      </c>
      <c r="B51" s="104"/>
      <c r="C51" s="29"/>
      <c r="D51" s="30"/>
      <c r="E51" s="31" t="s">
        <v>60</v>
      </c>
      <c r="F51" s="35">
        <v>5037.5150000000003</v>
      </c>
      <c r="G51" s="33">
        <v>0.05</v>
      </c>
      <c r="H51" s="37">
        <f t="shared" si="18"/>
        <v>5289.3907499999996</v>
      </c>
      <c r="I51" s="53" t="s">
        <v>38</v>
      </c>
      <c r="J51" s="57">
        <v>0.42</v>
      </c>
      <c r="K51" s="58">
        <f t="shared" si="19"/>
        <v>2221.5441150000001</v>
      </c>
      <c r="L51" s="59">
        <v>1.35</v>
      </c>
      <c r="M51" s="60">
        <f t="shared" si="20"/>
        <v>7140.6775125000004</v>
      </c>
      <c r="N51" s="61">
        <f t="shared" si="21"/>
        <v>9362.2216274999992</v>
      </c>
      <c r="O51" s="56"/>
      <c r="P51" s="52"/>
    </row>
    <row r="52" spans="1:16" s="3" customFormat="1">
      <c r="A52" s="29">
        <f>IF(I52&lt;&gt;"",1+MAX($A$9:A51),"")</f>
        <v>26</v>
      </c>
      <c r="B52" s="104"/>
      <c r="C52" s="29"/>
      <c r="D52" s="30"/>
      <c r="E52" s="31" t="s">
        <v>61</v>
      </c>
      <c r="F52" s="35">
        <v>1142.72</v>
      </c>
      <c r="G52" s="33">
        <v>0.05</v>
      </c>
      <c r="H52" s="37">
        <f t="shared" si="18"/>
        <v>1199.856</v>
      </c>
      <c r="I52" s="53" t="s">
        <v>41</v>
      </c>
      <c r="J52" s="57">
        <v>0.32</v>
      </c>
      <c r="K52" s="58">
        <f t="shared" si="19"/>
        <v>383.95391999999998</v>
      </c>
      <c r="L52" s="59">
        <v>0.85</v>
      </c>
      <c r="M52" s="60">
        <f t="shared" si="20"/>
        <v>1019.8776</v>
      </c>
      <c r="N52" s="61">
        <f t="shared" si="21"/>
        <v>1403.83152</v>
      </c>
      <c r="O52" s="56"/>
      <c r="P52" s="52"/>
    </row>
    <row r="53" spans="1:16" s="3" customFormat="1" ht="47.25">
      <c r="A53" s="29">
        <f>IF(I53&lt;&gt;"",1+MAX($A$9:A52),"")</f>
        <v>27</v>
      </c>
      <c r="B53" s="104"/>
      <c r="C53" s="29"/>
      <c r="D53" s="30"/>
      <c r="E53" s="31" t="s">
        <v>62</v>
      </c>
      <c r="F53" s="35">
        <v>1142.72</v>
      </c>
      <c r="G53" s="33">
        <v>0.05</v>
      </c>
      <c r="H53" s="37">
        <f t="shared" si="18"/>
        <v>1199.856</v>
      </c>
      <c r="I53" s="53" t="s">
        <v>41</v>
      </c>
      <c r="J53" s="57">
        <v>3.65</v>
      </c>
      <c r="K53" s="58">
        <f t="shared" si="19"/>
        <v>4379.4744000000001</v>
      </c>
      <c r="L53" s="59">
        <v>6.68</v>
      </c>
      <c r="M53" s="60">
        <f t="shared" si="20"/>
        <v>8015.0380800000003</v>
      </c>
      <c r="N53" s="61">
        <f t="shared" si="21"/>
        <v>12394.512479999999</v>
      </c>
      <c r="O53" s="56"/>
      <c r="P53" s="52"/>
    </row>
    <row r="54" spans="1:16" s="3" customFormat="1">
      <c r="A54" s="29">
        <f>IF(I54&lt;&gt;"",1+MAX($A$9:A53),"")</f>
        <v>28</v>
      </c>
      <c r="B54" s="104"/>
      <c r="C54" s="29"/>
      <c r="D54" s="30"/>
      <c r="E54" s="31" t="s">
        <v>63</v>
      </c>
      <c r="F54" s="35">
        <v>1142.72</v>
      </c>
      <c r="G54" s="33">
        <v>0.05</v>
      </c>
      <c r="H54" s="37">
        <f t="shared" si="18"/>
        <v>1199.856</v>
      </c>
      <c r="I54" s="53" t="s">
        <v>41</v>
      </c>
      <c r="J54" s="57">
        <v>2.1</v>
      </c>
      <c r="K54" s="58">
        <f t="shared" si="19"/>
        <v>2519.6976</v>
      </c>
      <c r="L54" s="59">
        <v>4</v>
      </c>
      <c r="M54" s="60">
        <f t="shared" si="20"/>
        <v>4799.424</v>
      </c>
      <c r="N54" s="61">
        <f t="shared" si="21"/>
        <v>7319.1216000000004</v>
      </c>
      <c r="O54" s="56"/>
      <c r="P54" s="52"/>
    </row>
    <row r="55" spans="1:16" s="3" customFormat="1" ht="110.25">
      <c r="A55" s="29">
        <f>IF(I55&lt;&gt;"",1+MAX($A$9:A54),"")</f>
        <v>29</v>
      </c>
      <c r="B55" s="104"/>
      <c r="C55" s="29"/>
      <c r="D55" s="30"/>
      <c r="E55" s="31" t="s">
        <v>64</v>
      </c>
      <c r="F55" s="35">
        <v>1142.72</v>
      </c>
      <c r="G55" s="33">
        <v>0.05</v>
      </c>
      <c r="H55" s="37">
        <f t="shared" si="18"/>
        <v>1199.856</v>
      </c>
      <c r="I55" s="53" t="s">
        <v>41</v>
      </c>
      <c r="J55" s="57">
        <v>2.48</v>
      </c>
      <c r="K55" s="58">
        <f t="shared" si="19"/>
        <v>2975.6428799999999</v>
      </c>
      <c r="L55" s="59">
        <v>4.5599999999999996</v>
      </c>
      <c r="M55" s="60">
        <f t="shared" si="20"/>
        <v>5471.3433599999998</v>
      </c>
      <c r="N55" s="61">
        <f t="shared" si="21"/>
        <v>8446.9862400000002</v>
      </c>
      <c r="O55" s="56"/>
      <c r="P55" s="52"/>
    </row>
    <row r="56" spans="1:16" s="3" customFormat="1">
      <c r="A56" s="29" t="str">
        <f>IF(I56&lt;&gt;"",1+MAX($A$9:A55),"")</f>
        <v/>
      </c>
      <c r="B56" s="104"/>
      <c r="C56" s="29"/>
      <c r="D56" s="30"/>
      <c r="E56" s="31" t="s">
        <v>36</v>
      </c>
      <c r="F56" s="35"/>
      <c r="G56" s="33"/>
      <c r="H56" s="37"/>
      <c r="I56" s="53"/>
      <c r="J56" s="57"/>
      <c r="K56" s="58"/>
      <c r="L56" s="59"/>
      <c r="M56" s="60"/>
      <c r="N56" s="61"/>
      <c r="O56" s="56"/>
      <c r="P56" s="52"/>
    </row>
    <row r="57" spans="1:16" s="3" customFormat="1">
      <c r="A57" s="29" t="str">
        <f>IF(I57&lt;&gt;"",1+MAX($A$9:A56),"")</f>
        <v/>
      </c>
      <c r="B57" s="104"/>
      <c r="C57" s="29"/>
      <c r="D57" s="30"/>
      <c r="E57" s="40" t="s">
        <v>65</v>
      </c>
      <c r="F57" s="35"/>
      <c r="G57" s="33"/>
      <c r="H57" s="37"/>
      <c r="I57" s="53"/>
      <c r="J57" s="57"/>
      <c r="K57" s="58"/>
      <c r="L57" s="59"/>
      <c r="M57" s="60"/>
      <c r="N57" s="61"/>
      <c r="O57" s="56"/>
      <c r="P57" s="52"/>
    </row>
    <row r="58" spans="1:16" s="3" customFormat="1">
      <c r="A58" s="29" t="str">
        <f>IF(I58&lt;&gt;"",1+MAX($A$9:A57),"")</f>
        <v/>
      </c>
      <c r="B58" s="104"/>
      <c r="C58" s="29"/>
      <c r="D58" s="30"/>
      <c r="E58" s="31" t="s">
        <v>36</v>
      </c>
      <c r="F58" s="35"/>
      <c r="G58" s="33"/>
      <c r="H58" s="37"/>
      <c r="I58" s="53"/>
      <c r="J58" s="57"/>
      <c r="K58" s="58"/>
      <c r="L58" s="59"/>
      <c r="M58" s="60"/>
      <c r="N58" s="61"/>
      <c r="O58" s="56"/>
      <c r="P58" s="52"/>
    </row>
    <row r="59" spans="1:16" s="3" customFormat="1" ht="78.75">
      <c r="A59" s="29">
        <f>IF(I59&lt;&gt;"",1+MAX($A$9:A58),"")</f>
        <v>30</v>
      </c>
      <c r="B59" s="104"/>
      <c r="C59" s="29"/>
      <c r="D59" s="30"/>
      <c r="E59" s="31" t="s">
        <v>66</v>
      </c>
      <c r="F59" s="35">
        <v>345.4</v>
      </c>
      <c r="G59" s="33">
        <v>0.05</v>
      </c>
      <c r="H59" s="37">
        <f t="shared" ref="H59:H67" si="22">F59*(1+G59)</f>
        <v>362.67</v>
      </c>
      <c r="I59" s="53" t="s">
        <v>41</v>
      </c>
      <c r="J59" s="57">
        <v>3.6779999999999999</v>
      </c>
      <c r="K59" s="58">
        <f t="shared" ref="K59" si="23">J59*H59</f>
        <v>1333.9002599999999</v>
      </c>
      <c r="L59" s="59">
        <v>1.65</v>
      </c>
      <c r="M59" s="60">
        <f t="shared" ref="M59:M67" si="24">L59*H59</f>
        <v>598.40549999999996</v>
      </c>
      <c r="N59" s="61">
        <f t="shared" ref="N59:N67" si="25">(J59+L59)*H59</f>
        <v>1932.30576</v>
      </c>
      <c r="O59" s="56"/>
      <c r="P59" s="52"/>
    </row>
    <row r="60" spans="1:16" s="3" customFormat="1" ht="63">
      <c r="A60" s="29">
        <f>IF(I60&lt;&gt;"",1+MAX($A$9:A59),"")</f>
        <v>31</v>
      </c>
      <c r="B60" s="104"/>
      <c r="C60" s="29"/>
      <c r="D60" s="30"/>
      <c r="E60" s="31" t="s">
        <v>67</v>
      </c>
      <c r="F60" s="35">
        <v>345.4</v>
      </c>
      <c r="G60" s="33">
        <v>0.05</v>
      </c>
      <c r="H60" s="37">
        <f t="shared" si="22"/>
        <v>362.67</v>
      </c>
      <c r="I60" s="53" t="s">
        <v>41</v>
      </c>
      <c r="J60" s="57">
        <v>1.85</v>
      </c>
      <c r="K60" s="58">
        <f t="shared" ref="K60:K67" si="26">J60*H60</f>
        <v>670.93949999999995</v>
      </c>
      <c r="L60" s="59">
        <v>3.2</v>
      </c>
      <c r="M60" s="60">
        <f t="shared" si="24"/>
        <v>1160.5440000000001</v>
      </c>
      <c r="N60" s="61">
        <f t="shared" si="25"/>
        <v>1831.4835</v>
      </c>
      <c r="O60" s="56"/>
      <c r="P60" s="52"/>
    </row>
    <row r="61" spans="1:16" s="3" customFormat="1" ht="94.5">
      <c r="A61" s="29">
        <f>IF(I61&lt;&gt;"",1+MAX($A$9:A60),"")</f>
        <v>32</v>
      </c>
      <c r="B61" s="104"/>
      <c r="C61" s="29"/>
      <c r="D61" s="30"/>
      <c r="E61" s="31" t="s">
        <v>68</v>
      </c>
      <c r="F61" s="35">
        <v>20</v>
      </c>
      <c r="G61" s="33">
        <v>0</v>
      </c>
      <c r="H61" s="37">
        <f t="shared" si="22"/>
        <v>20</v>
      </c>
      <c r="I61" s="53" t="s">
        <v>69</v>
      </c>
      <c r="J61" s="57">
        <v>0</v>
      </c>
      <c r="K61" s="58">
        <f t="shared" si="26"/>
        <v>0</v>
      </c>
      <c r="L61" s="59">
        <v>150</v>
      </c>
      <c r="M61" s="60">
        <f t="shared" si="24"/>
        <v>3000</v>
      </c>
      <c r="N61" s="61">
        <f t="shared" si="25"/>
        <v>3000</v>
      </c>
      <c r="O61" s="56"/>
      <c r="P61" s="52"/>
    </row>
    <row r="62" spans="1:16" s="3" customFormat="1" ht="78.75">
      <c r="A62" s="29">
        <f>IF(I62&lt;&gt;"",1+MAX($A$9:A61),"")</f>
        <v>33</v>
      </c>
      <c r="B62" s="104"/>
      <c r="C62" s="29"/>
      <c r="D62" s="30"/>
      <c r="E62" s="31" t="s">
        <v>70</v>
      </c>
      <c r="F62" s="35">
        <v>6</v>
      </c>
      <c r="G62" s="33">
        <v>0</v>
      </c>
      <c r="H62" s="37">
        <f t="shared" si="22"/>
        <v>6</v>
      </c>
      <c r="I62" s="53" t="s">
        <v>69</v>
      </c>
      <c r="J62" s="57">
        <v>0</v>
      </c>
      <c r="K62" s="58">
        <f t="shared" si="26"/>
        <v>0</v>
      </c>
      <c r="L62" s="59">
        <v>122</v>
      </c>
      <c r="M62" s="60">
        <f t="shared" si="24"/>
        <v>732</v>
      </c>
      <c r="N62" s="61">
        <f t="shared" si="25"/>
        <v>732</v>
      </c>
      <c r="O62" s="56"/>
      <c r="P62" s="52"/>
    </row>
    <row r="63" spans="1:16" s="3" customFormat="1" ht="78.75">
      <c r="A63" s="29">
        <f>IF(I63&lt;&gt;"",1+MAX($A$9:A62),"")</f>
        <v>34</v>
      </c>
      <c r="B63" s="104"/>
      <c r="C63" s="29"/>
      <c r="D63" s="30"/>
      <c r="E63" s="31" t="s">
        <v>71</v>
      </c>
      <c r="F63" s="35">
        <v>23</v>
      </c>
      <c r="G63" s="33">
        <v>0</v>
      </c>
      <c r="H63" s="37">
        <f t="shared" si="22"/>
        <v>23</v>
      </c>
      <c r="I63" s="53" t="s">
        <v>69</v>
      </c>
      <c r="J63" s="57">
        <v>40</v>
      </c>
      <c r="K63" s="58">
        <f t="shared" si="26"/>
        <v>920</v>
      </c>
      <c r="L63" s="59">
        <v>115</v>
      </c>
      <c r="M63" s="60">
        <f t="shared" si="24"/>
        <v>2645</v>
      </c>
      <c r="N63" s="61">
        <f t="shared" si="25"/>
        <v>3565</v>
      </c>
      <c r="O63" s="56"/>
      <c r="P63" s="52"/>
    </row>
    <row r="64" spans="1:16" s="3" customFormat="1" ht="31.5">
      <c r="A64" s="29">
        <f>IF(I64&lt;&gt;"",1+MAX($A$9:A63),"")</f>
        <v>35</v>
      </c>
      <c r="B64" s="104"/>
      <c r="C64" s="29"/>
      <c r="D64" s="30"/>
      <c r="E64" s="31" t="s">
        <v>72</v>
      </c>
      <c r="F64" s="35">
        <v>120</v>
      </c>
      <c r="G64" s="33">
        <v>0</v>
      </c>
      <c r="H64" s="37">
        <f t="shared" si="22"/>
        <v>120</v>
      </c>
      <c r="I64" s="53" t="s">
        <v>69</v>
      </c>
      <c r="J64" s="57">
        <v>26.5</v>
      </c>
      <c r="K64" s="58">
        <f t="shared" si="26"/>
        <v>3180</v>
      </c>
      <c r="L64" s="59">
        <v>14.8</v>
      </c>
      <c r="M64" s="60">
        <f t="shared" si="24"/>
        <v>1776</v>
      </c>
      <c r="N64" s="61">
        <f t="shared" si="25"/>
        <v>4956</v>
      </c>
      <c r="O64" s="56"/>
      <c r="P64" s="52"/>
    </row>
    <row r="65" spans="1:16" s="3" customFormat="1">
      <c r="A65" s="29">
        <f>IF(I65&lt;&gt;"",1+MAX($A$9:A64),"")</f>
        <v>36</v>
      </c>
      <c r="B65" s="104"/>
      <c r="C65" s="29"/>
      <c r="D65" s="30"/>
      <c r="E65" s="31" t="s">
        <v>73</v>
      </c>
      <c r="F65" s="35">
        <v>9</v>
      </c>
      <c r="G65" s="33">
        <v>0</v>
      </c>
      <c r="H65" s="37">
        <f t="shared" si="22"/>
        <v>9</v>
      </c>
      <c r="I65" s="53" t="s">
        <v>69</v>
      </c>
      <c r="J65" s="57">
        <v>0</v>
      </c>
      <c r="K65" s="58">
        <f t="shared" si="26"/>
        <v>0</v>
      </c>
      <c r="L65" s="59">
        <v>140</v>
      </c>
      <c r="M65" s="60">
        <f t="shared" si="24"/>
        <v>1260</v>
      </c>
      <c r="N65" s="61">
        <f t="shared" si="25"/>
        <v>1260</v>
      </c>
      <c r="O65" s="56"/>
      <c r="P65" s="52"/>
    </row>
    <row r="66" spans="1:16" s="3" customFormat="1">
      <c r="A66" s="29">
        <f>IF(I66&lt;&gt;"",1+MAX($A$9:A65),"")</f>
        <v>37</v>
      </c>
      <c r="B66" s="104"/>
      <c r="C66" s="29"/>
      <c r="D66" s="30"/>
      <c r="E66" s="31" t="s">
        <v>74</v>
      </c>
      <c r="F66" s="35">
        <v>10</v>
      </c>
      <c r="G66" s="33">
        <v>0</v>
      </c>
      <c r="H66" s="37">
        <f t="shared" si="22"/>
        <v>10</v>
      </c>
      <c r="I66" s="53" t="s">
        <v>69</v>
      </c>
      <c r="J66" s="57">
        <v>124</v>
      </c>
      <c r="K66" s="58">
        <f t="shared" si="26"/>
        <v>1240</v>
      </c>
      <c r="L66" s="59">
        <v>65</v>
      </c>
      <c r="M66" s="60">
        <f t="shared" si="24"/>
        <v>650</v>
      </c>
      <c r="N66" s="61">
        <f t="shared" si="25"/>
        <v>1890</v>
      </c>
      <c r="O66" s="56"/>
      <c r="P66" s="52"/>
    </row>
    <row r="67" spans="1:16" s="3" customFormat="1">
      <c r="A67" s="29">
        <f>IF(I67&lt;&gt;"",1+MAX($A$9:A66),"")</f>
        <v>38</v>
      </c>
      <c r="B67" s="104"/>
      <c r="C67" s="29"/>
      <c r="D67" s="30"/>
      <c r="E67" s="31" t="s">
        <v>75</v>
      </c>
      <c r="F67" s="35">
        <v>12</v>
      </c>
      <c r="G67" s="33">
        <v>0</v>
      </c>
      <c r="H67" s="37">
        <f t="shared" si="22"/>
        <v>12</v>
      </c>
      <c r="I67" s="53" t="s">
        <v>69</v>
      </c>
      <c r="J67" s="57">
        <v>85</v>
      </c>
      <c r="K67" s="58">
        <f t="shared" si="26"/>
        <v>1020</v>
      </c>
      <c r="L67" s="59">
        <v>136</v>
      </c>
      <c r="M67" s="60">
        <f t="shared" si="24"/>
        <v>1632</v>
      </c>
      <c r="N67" s="61">
        <f t="shared" si="25"/>
        <v>2652</v>
      </c>
      <c r="O67" s="56"/>
      <c r="P67" s="52"/>
    </row>
    <row r="68" spans="1:16" s="3" customFormat="1">
      <c r="A68" s="29" t="str">
        <f>IF(I68&lt;&gt;"",1+MAX($A$9:A67),"")</f>
        <v/>
      </c>
      <c r="B68" s="41"/>
      <c r="C68" s="29"/>
      <c r="D68" s="30"/>
      <c r="E68" s="31"/>
      <c r="F68" s="32"/>
      <c r="G68" s="33"/>
      <c r="H68" s="34"/>
      <c r="I68" s="53"/>
      <c r="J68" s="63"/>
      <c r="K68" s="63"/>
      <c r="L68" s="54"/>
      <c r="M68" s="54"/>
      <c r="N68" s="55"/>
      <c r="O68" s="56"/>
      <c r="P68" s="52"/>
    </row>
    <row r="69" spans="1:16">
      <c r="A69" s="98" t="s">
        <v>76</v>
      </c>
      <c r="B69" s="99"/>
      <c r="C69" s="65"/>
      <c r="D69" s="66"/>
      <c r="E69" s="67"/>
      <c r="F69" s="68"/>
      <c r="G69" s="69"/>
      <c r="H69" s="69"/>
      <c r="I69" s="64"/>
      <c r="J69" s="83" t="s">
        <v>77</v>
      </c>
      <c r="K69" s="84">
        <f>SUM(K9:K68)</f>
        <v>115038.012093</v>
      </c>
      <c r="L69" s="85" t="s">
        <v>78</v>
      </c>
      <c r="M69" s="84">
        <f>SUM(M9:M68)</f>
        <v>161572.02699750001</v>
      </c>
      <c r="N69" s="84">
        <f>SUM(N9:N68)</f>
        <v>276610.03909049998</v>
      </c>
      <c r="O69" s="84">
        <f>SUM(O9:O68)</f>
        <v>276610.03909049998</v>
      </c>
    </row>
    <row r="70" spans="1:16">
      <c r="A70" s="100" t="s">
        <v>79</v>
      </c>
      <c r="B70" s="101"/>
      <c r="C70" s="65"/>
      <c r="D70" s="66"/>
      <c r="E70" s="67"/>
      <c r="F70" s="68"/>
      <c r="G70" s="69"/>
      <c r="H70" s="69"/>
      <c r="I70" s="65"/>
      <c r="J70" s="86">
        <v>0.05</v>
      </c>
      <c r="K70" s="87"/>
      <c r="L70" s="87"/>
      <c r="M70" s="87"/>
      <c r="N70" s="88">
        <f>J70*N69</f>
        <v>13830.501954525</v>
      </c>
      <c r="O70" s="84">
        <f>J70*O69</f>
        <v>13830.501954525</v>
      </c>
    </row>
    <row r="71" spans="1:16">
      <c r="A71" s="100" t="s">
        <v>80</v>
      </c>
      <c r="B71" s="101"/>
      <c r="C71" s="65"/>
      <c r="D71" s="66"/>
      <c r="E71" s="67"/>
      <c r="F71" s="68"/>
      <c r="G71" s="69"/>
      <c r="H71" s="69"/>
      <c r="I71" s="65"/>
      <c r="J71" s="86">
        <v>0.25</v>
      </c>
      <c r="K71" s="87"/>
      <c r="L71" s="87"/>
      <c r="M71" s="87"/>
      <c r="N71" s="88">
        <f>J71*N69</f>
        <v>69152.509772624995</v>
      </c>
      <c r="O71" s="84">
        <f>J71*O69</f>
        <v>69152.509772624995</v>
      </c>
    </row>
    <row r="72" spans="1:16">
      <c r="A72" s="102" t="s">
        <v>81</v>
      </c>
      <c r="B72" s="103"/>
      <c r="C72" s="70"/>
      <c r="D72" s="71"/>
      <c r="E72" s="72"/>
      <c r="F72" s="73"/>
      <c r="G72" s="74"/>
      <c r="H72" s="74"/>
      <c r="I72" s="70"/>
      <c r="J72" s="89"/>
      <c r="K72" s="89"/>
      <c r="L72" s="89"/>
      <c r="M72" s="89"/>
      <c r="N72" s="90">
        <f>SUM(N69:N71)</f>
        <v>359593.05081764999</v>
      </c>
      <c r="O72" s="91">
        <f>SUM(O69:O71)</f>
        <v>359593.05081764999</v>
      </c>
    </row>
    <row r="73" spans="1:16">
      <c r="A73" s="13"/>
      <c r="B73" s="14"/>
      <c r="C73" s="14"/>
      <c r="D73" s="17"/>
      <c r="E73" s="18"/>
      <c r="F73" s="15"/>
      <c r="G73" s="16"/>
      <c r="H73" s="16"/>
      <c r="I73" s="14"/>
      <c r="J73" s="42"/>
      <c r="K73" s="42"/>
      <c r="L73" s="42"/>
      <c r="M73" s="42"/>
      <c r="N73" s="43"/>
      <c r="O73" s="44"/>
    </row>
    <row r="74" spans="1:16">
      <c r="A74" s="75" t="s">
        <v>82</v>
      </c>
      <c r="B74" s="14"/>
      <c r="C74" s="14"/>
      <c r="D74" s="17"/>
      <c r="E74" s="76"/>
      <c r="F74" s="77"/>
      <c r="G74" s="4"/>
      <c r="H74" s="78"/>
      <c r="N74" s="11"/>
      <c r="O74" s="92"/>
    </row>
    <row r="75" spans="1:16">
      <c r="A75" s="79"/>
      <c r="B75" s="14"/>
      <c r="C75" s="14"/>
      <c r="D75" s="17"/>
      <c r="E75" s="76"/>
      <c r="F75" s="77"/>
      <c r="G75" s="4"/>
      <c r="H75" s="78"/>
      <c r="N75" s="11"/>
    </row>
    <row r="76" spans="1:16">
      <c r="A76" s="79" t="s">
        <v>83</v>
      </c>
      <c r="B76" s="14"/>
      <c r="C76" s="14"/>
      <c r="D76" s="17"/>
      <c r="E76" s="76"/>
      <c r="F76" s="77"/>
      <c r="G76" s="4"/>
      <c r="H76" s="78"/>
      <c r="N76" s="11"/>
    </row>
    <row r="77" spans="1:16">
      <c r="A77" s="79"/>
      <c r="B77" s="14"/>
      <c r="C77" s="14"/>
      <c r="D77" s="17"/>
      <c r="E77" s="76"/>
      <c r="F77" s="77"/>
      <c r="G77" s="4"/>
      <c r="H77" s="78"/>
      <c r="N77" s="11"/>
    </row>
    <row r="78" spans="1:16">
      <c r="A78" s="13"/>
      <c r="B78" s="14"/>
      <c r="C78" s="14"/>
      <c r="D78" s="17"/>
      <c r="E78" s="18"/>
      <c r="F78" s="77"/>
      <c r="G78" s="78"/>
      <c r="H78" s="78"/>
      <c r="N78" s="11"/>
    </row>
    <row r="79" spans="1:16">
      <c r="A79" s="13"/>
      <c r="B79" s="14"/>
      <c r="C79" s="14"/>
      <c r="D79" s="17"/>
      <c r="E79" s="18"/>
      <c r="F79" s="77"/>
      <c r="G79" s="4"/>
      <c r="H79" s="16"/>
      <c r="I79" s="14"/>
      <c r="J79" s="11"/>
      <c r="K79" s="11"/>
      <c r="L79" s="11"/>
      <c r="M79" s="11"/>
      <c r="N79" s="11"/>
    </row>
    <row r="80" spans="1:16">
      <c r="A80" s="80"/>
      <c r="B80" s="81"/>
      <c r="C80" s="81"/>
      <c r="D80" s="82"/>
      <c r="E80" s="18"/>
      <c r="F80" s="77"/>
      <c r="G80" s="4"/>
      <c r="H80" s="16"/>
      <c r="I80" s="14"/>
      <c r="J80" s="11"/>
      <c r="K80" s="11"/>
      <c r="L80" s="11"/>
      <c r="M80" s="11"/>
      <c r="N80" s="11"/>
    </row>
    <row r="81" spans="1:14">
      <c r="A81" s="14"/>
      <c r="B81" s="14"/>
      <c r="C81" s="14"/>
      <c r="D81" s="17"/>
      <c r="E81" s="18"/>
      <c r="F81" s="77"/>
      <c r="G81" s="4"/>
      <c r="H81" s="16"/>
      <c r="I81" s="14"/>
      <c r="J81" s="11"/>
      <c r="K81" s="11"/>
      <c r="L81" s="11"/>
      <c r="M81" s="11"/>
      <c r="N81" s="11"/>
    </row>
    <row r="82" spans="1:14">
      <c r="F82" s="77"/>
      <c r="G82" s="78"/>
      <c r="H82" s="78"/>
      <c r="J82" s="11"/>
      <c r="K82" s="11"/>
      <c r="L82" s="11"/>
      <c r="M82" s="11"/>
      <c r="N82" s="11"/>
    </row>
    <row r="83" spans="1:14">
      <c r="F83" s="77"/>
      <c r="G83" s="78"/>
      <c r="H83" s="78"/>
      <c r="J83" s="11"/>
      <c r="K83" s="11"/>
      <c r="L83" s="11"/>
      <c r="M83" s="11"/>
      <c r="N83" s="11"/>
    </row>
    <row r="84" spans="1:14">
      <c r="G84" s="78"/>
    </row>
    <row r="85" spans="1:14">
      <c r="G85" s="78"/>
    </row>
    <row r="86" spans="1:14">
      <c r="G86" s="78"/>
    </row>
    <row r="87" spans="1:14">
      <c r="G87" s="78"/>
    </row>
    <row r="88" spans="1:14">
      <c r="G88" s="78"/>
    </row>
    <row r="89" spans="1:14">
      <c r="G89" s="78"/>
    </row>
    <row r="90" spans="1:14">
      <c r="G90" s="78"/>
    </row>
    <row r="91" spans="1:14">
      <c r="G91" s="78"/>
    </row>
    <row r="92" spans="1:14">
      <c r="G92" s="78"/>
    </row>
    <row r="93" spans="1:14">
      <c r="G93" s="78"/>
    </row>
    <row r="94" spans="1:14">
      <c r="G94" s="78"/>
    </row>
    <row r="95" spans="1:14">
      <c r="G95" s="78"/>
    </row>
    <row r="96" spans="1:14">
      <c r="G96" s="78"/>
    </row>
    <row r="97" spans="7:7">
      <c r="G97" s="78"/>
    </row>
    <row r="98" spans="7:7">
      <c r="G98" s="78"/>
    </row>
    <row r="99" spans="7:7">
      <c r="G99" s="78"/>
    </row>
    <row r="100" spans="7:7">
      <c r="G100" s="78"/>
    </row>
    <row r="101" spans="7:7">
      <c r="G101" s="78"/>
    </row>
    <row r="102" spans="7:7">
      <c r="G102" s="78"/>
    </row>
    <row r="103" spans="7:7">
      <c r="G103" s="78"/>
    </row>
    <row r="104" spans="7:7">
      <c r="G104" s="78"/>
    </row>
    <row r="105" spans="7:7">
      <c r="G105" s="78"/>
    </row>
    <row r="106" spans="7:7">
      <c r="G106" s="78"/>
    </row>
    <row r="107" spans="7:7">
      <c r="G107" s="78"/>
    </row>
    <row r="108" spans="7:7">
      <c r="G108" s="78"/>
    </row>
    <row r="109" spans="7:7">
      <c r="G109" s="78"/>
    </row>
    <row r="110" spans="7:7">
      <c r="G110" s="78"/>
    </row>
    <row r="111" spans="7:7">
      <c r="G111" s="78"/>
    </row>
    <row r="112" spans="7:7">
      <c r="G112" s="78"/>
    </row>
    <row r="113" spans="7:7">
      <c r="G113" s="78"/>
    </row>
    <row r="114" spans="7:7">
      <c r="G114" s="78"/>
    </row>
    <row r="115" spans="7:7">
      <c r="G115" s="78"/>
    </row>
    <row r="116" spans="7:7">
      <c r="G116" s="78"/>
    </row>
    <row r="117" spans="7:7">
      <c r="G117" s="78"/>
    </row>
  </sheetData>
  <mergeCells count="8">
    <mergeCell ref="A72:B72"/>
    <mergeCell ref="B23:B27"/>
    <mergeCell ref="B32:B67"/>
    <mergeCell ref="A2:K7"/>
    <mergeCell ref="A1:O1"/>
    <mergeCell ref="A69:B69"/>
    <mergeCell ref="A70:B70"/>
    <mergeCell ref="A71:B71"/>
  </mergeCells>
  <printOptions horizontalCentered="1"/>
  <pageMargins left="0.43307086614173201" right="0.43307086614173201" top="0.39370078740157499" bottom="0.39370078740157499" header="0.196850393700787" footer="0.196850393700787"/>
  <pageSetup paperSize="9" scale="33" orientation="portrait" r:id="rId1"/>
  <headerFooter>
    <oddFooter>&amp;C&amp;P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C9C7F9-BAC7-4523-A744-1D803E6425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DETAIL</vt:lpstr>
      <vt:lpstr>Sheet1</vt:lpstr>
      <vt:lpstr>DETAIL!Print_Area</vt:lpstr>
      <vt:lpstr>DETAIL!Print_Titles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Casa</cp:lastModifiedBy>
  <dcterms:created xsi:type="dcterms:W3CDTF">2013-07-08T09:36:00Z</dcterms:created>
  <dcterms:modified xsi:type="dcterms:W3CDTF">2022-11-25T16:58:47Z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PlanSwiftJobName">
    <vt:lpwstr/>
  </property>
  <property fmtid="{D5CDD505-2E9C-101B-9397-08002B2CF9AE}" pid="4" name="PlanSwiftJobGuid">
    <vt:lpwstr/>
  </property>
  <property fmtid="{D5CDD505-2E9C-101B-9397-08002B2CF9AE}" pid="5" name="LinkedDataId">
    <vt:lpwstr>{E3C9C7F9-BAC7-4523-A744-1D803E64256B}</vt:lpwstr>
  </property>
  <property fmtid="{D5CDD505-2E9C-101B-9397-08002B2CF9AE}" pid="6" name="ICV">
    <vt:lpwstr>1771E318B26E4731826C34B6E81F8F6D</vt:lpwstr>
  </property>
  <property fmtid="{D5CDD505-2E9C-101B-9397-08002B2CF9AE}" pid="7" name="KSOProductBuildVer">
    <vt:lpwstr>1033-11.2.0.10382</vt:lpwstr>
  </property>
</Properties>
</file>