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codeName="ThisWorkbook" defaultThemeVersion="124226"/>
  <bookViews>
    <workbookView xWindow="0" yWindow="0" windowWidth="19410" windowHeight="9735"/>
  </bookViews>
  <sheets>
    <sheet name="DETAIL" sheetId="11" r:id="rId1"/>
  </sheets>
  <definedNames>
    <definedName name="_xlnm._FilterDatabase" localSheetId="0" hidden="1">DETAIL!$A$1:$A$51</definedName>
    <definedName name="_xlnm.Print_Area" localSheetId="0">DETAIL!$A$1:$O$44</definedName>
    <definedName name="_xlnm.Print_Titles" localSheetId="0">DETAIL!$8:$8</definedName>
  </definedNames>
  <calcPr calcId="144525"/>
</workbook>
</file>

<file path=xl/calcChain.xml><?xml version="1.0" encoding="utf-8"?>
<calcChain xmlns="http://schemas.openxmlformats.org/spreadsheetml/2006/main">
  <c r="K34" i="11" l="1"/>
  <c r="K33" i="11"/>
  <c r="K29" i="11"/>
  <c r="K28" i="11"/>
  <c r="H33" i="11" l="1"/>
  <c r="M33" i="11" s="1"/>
  <c r="K26" i="11"/>
  <c r="M26" i="11"/>
  <c r="N26" i="11"/>
  <c r="M28" i="11"/>
  <c r="N28" i="11"/>
  <c r="M29" i="11"/>
  <c r="N29" i="11"/>
  <c r="K30" i="11"/>
  <c r="M30" i="11"/>
  <c r="N30" i="11"/>
  <c r="K31" i="11"/>
  <c r="M31" i="11"/>
  <c r="N31" i="11"/>
  <c r="N33" i="11"/>
  <c r="M34" i="11"/>
  <c r="N34" i="11"/>
  <c r="H31" i="11"/>
  <c r="A35" i="11" l="1"/>
  <c r="A32" i="11"/>
  <c r="A23" i="11"/>
  <c r="A22" i="11"/>
  <c r="A21" i="11"/>
  <c r="H34" i="11"/>
  <c r="H30" i="11"/>
  <c r="H29" i="11"/>
  <c r="H28" i="11"/>
  <c r="H26" i="11"/>
  <c r="H25" i="11"/>
  <c r="K25" i="11" s="1"/>
  <c r="K36" i="11" s="1"/>
  <c r="M25" i="11" l="1"/>
  <c r="M36" i="11" s="1"/>
  <c r="N25" i="11"/>
  <c r="N36" i="11" s="1"/>
  <c r="K13" i="11"/>
  <c r="H18" i="11"/>
  <c r="M18" i="11" s="1"/>
  <c r="H17" i="11"/>
  <c r="N17" i="11" s="1"/>
  <c r="H16" i="11"/>
  <c r="M16" i="11" s="1"/>
  <c r="H15" i="11"/>
  <c r="M15" i="11" s="1"/>
  <c r="H14" i="11"/>
  <c r="M14" i="11" s="1"/>
  <c r="H13" i="11"/>
  <c r="N13" i="11" s="1"/>
  <c r="H12" i="11"/>
  <c r="N12" i="11" s="1"/>
  <c r="K18" i="11" l="1"/>
  <c r="K14" i="11"/>
  <c r="N14" i="11"/>
  <c r="K17" i="11"/>
  <c r="N18" i="11"/>
  <c r="M12" i="11"/>
  <c r="K15" i="11"/>
  <c r="M13" i="11"/>
  <c r="M17" i="11"/>
  <c r="N15" i="11"/>
  <c r="K12" i="11"/>
  <c r="K16" i="11"/>
  <c r="N16" i="11"/>
  <c r="O20" i="11" l="1"/>
  <c r="A19" i="11"/>
  <c r="H11" i="11" l="1"/>
  <c r="A11" i="11"/>
  <c r="N11" i="11" l="1"/>
  <c r="M11" i="11"/>
  <c r="K11" i="11"/>
  <c r="A12" i="11"/>
  <c r="N4" i="11" l="1"/>
  <c r="O9" i="11"/>
  <c r="O36" i="11" s="1"/>
  <c r="A13" i="11"/>
  <c r="N37" i="11" l="1"/>
  <c r="N38" i="11"/>
  <c r="O38" i="11"/>
  <c r="O37" i="11"/>
  <c r="A14" i="11"/>
  <c r="N39" i="11" l="1"/>
  <c r="N5" i="11"/>
  <c r="N6" i="11" s="1"/>
  <c r="O39" i="11"/>
  <c r="A15" i="11"/>
  <c r="A16" i="11" l="1"/>
  <c r="A17" i="11" l="1"/>
  <c r="A18" i="11" l="1"/>
  <c r="A24" i="11" s="1"/>
  <c r="A25" i="11" s="1"/>
  <c r="A26" i="11" s="1"/>
  <c r="A27" i="11" l="1"/>
  <c r="A28" i="11" l="1"/>
  <c r="A29" i="11" s="1"/>
  <c r="A30" i="11" s="1"/>
  <c r="A31" i="11" l="1"/>
  <c r="A33" i="11"/>
  <c r="A34" i="11" s="1"/>
</calcChain>
</file>

<file path=xl/sharedStrings.xml><?xml version="1.0" encoding="utf-8"?>
<sst xmlns="http://schemas.openxmlformats.org/spreadsheetml/2006/main" count="73" uniqueCount="54">
  <si>
    <t>SUB TOTAL</t>
  </si>
  <si>
    <t>TOTAL BASE BID</t>
  </si>
  <si>
    <t>OVERHEAD AND PROFIT</t>
  </si>
  <si>
    <t>INSURANCE</t>
  </si>
  <si>
    <t>GENERAL</t>
  </si>
  <si>
    <t>Permit</t>
  </si>
  <si>
    <t>Supervision</t>
  </si>
  <si>
    <t>Estimate of Materials and Cost of Construction</t>
  </si>
  <si>
    <t>Summary</t>
  </si>
  <si>
    <t>Amount</t>
  </si>
  <si>
    <t>Subtotal</t>
  </si>
  <si>
    <t>Profit/Overhead</t>
  </si>
  <si>
    <t>Total</t>
  </si>
  <si>
    <t>Final Cleanup</t>
  </si>
  <si>
    <t>Mobilization Cost</t>
  </si>
  <si>
    <t>Project Overheads</t>
  </si>
  <si>
    <t>Bonds</t>
  </si>
  <si>
    <t>Fees (Architect &amp; Engineer)</t>
  </si>
  <si>
    <t>Temporary Control &amp; Facilities</t>
  </si>
  <si>
    <t>LS</t>
  </si>
  <si>
    <t>DIV-01</t>
  </si>
  <si>
    <t>Total Mat. Cost =</t>
  </si>
  <si>
    <t>Total Lab. Cost =</t>
  </si>
  <si>
    <t>NOTES FOR CONTRACTOR:</t>
  </si>
  <si>
    <t>Item #</t>
  </si>
  <si>
    <t>Ref. Sheet</t>
  </si>
  <si>
    <t>Detail Sheet Ref.</t>
  </si>
  <si>
    <t>CSI Ref.</t>
  </si>
  <si>
    <t>Description</t>
  </si>
  <si>
    <t>Quantity</t>
  </si>
  <si>
    <t>Wastage</t>
  </si>
  <si>
    <t>Quantity w/ Wastage</t>
  </si>
  <si>
    <t xml:space="preserve">Unit </t>
  </si>
  <si>
    <t>Unit Material Cost</t>
  </si>
  <si>
    <t>Total Material Cost</t>
  </si>
  <si>
    <t>Unit Labour Cost</t>
  </si>
  <si>
    <t>Total Labour Cost</t>
  </si>
  <si>
    <t>Total Item Cost</t>
  </si>
  <si>
    <t>Trade Cost</t>
  </si>
  <si>
    <t/>
  </si>
  <si>
    <t xml:space="preserve">1. All electrical panels are existing to remain. </t>
  </si>
  <si>
    <t>DIV-04</t>
  </si>
  <si>
    <t>Masonry</t>
  </si>
  <si>
    <t>A-100
To
A-105</t>
  </si>
  <si>
    <t>Basement/Garage Level</t>
  </si>
  <si>
    <t>8" CMU Wall Reinforced w/ #5 @ 16" o.c. Vertical reinforcement and #4 @ 24" o.c. horizontal using mortar</t>
  </si>
  <si>
    <t>8" CMU Bond beam reinforced w/ 2#5 continuous bars</t>
  </si>
  <si>
    <t>1st floor</t>
  </si>
  <si>
    <t>12" CMU Bond beam reinforced w/ 2#5 continuous bars</t>
  </si>
  <si>
    <t>2nd floor to 4th floor &amp; roof</t>
  </si>
  <si>
    <t>CMU @ Building</t>
  </si>
  <si>
    <t>SF</t>
  </si>
  <si>
    <t>LF</t>
  </si>
  <si>
    <t>12" CMU Wall Reinforced w/ #6 @ 16" o.c. Vertical reinforcement and #5 @ 16" o.c. horizontal using mortar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</si>
</sst>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  <numFmt numFmtId="167" formatCode="0.0"/>
    <numFmt numFmtId="168" formatCode="_(* #,##0_);_(* \(#,##0\);_(* &quot;-&quot;??_);_(@_)"/>
    <numFmt numFmtId="169" formatCode="_(* #,##0.0_);_(* \(#,##0.0\);_(* &quot;-&quot;??_);_(@_)"/>
  </numFmts>
  <fonts count="48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9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indexed="6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u/>
      <sz val="18"/>
      <color theme="1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charset val="1"/>
      <scheme val="minor"/>
    </font>
    <font>
      <b/>
      <sz val="12"/>
      <name val="Arial"/>
      <family val="2"/>
    </font>
    <font>
      <b/>
      <sz val="12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3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thin">
        <color indexed="64"/>
      </bottom>
      <diagonal/>
    </border>
    <border>
      <left/>
      <right style="thin">
        <color indexed="64"/>
      </right>
      <top style="thin">
        <color indexed="62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double">
        <color indexed="62"/>
      </top>
      <bottom style="double">
        <color indexed="62"/>
      </bottom>
      <diagonal/>
    </border>
    <border>
      <left/>
      <right/>
      <top style="double">
        <color indexed="62"/>
      </top>
      <bottom style="double">
        <color indexed="62"/>
      </bottom>
      <diagonal/>
    </border>
    <border>
      <left style="thin">
        <color indexed="64"/>
      </left>
      <right/>
      <top style="double">
        <color indexed="62"/>
      </top>
      <bottom style="thin">
        <color indexed="64"/>
      </bottom>
      <diagonal/>
    </border>
    <border>
      <left/>
      <right/>
      <top style="double">
        <color indexed="6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9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0" fillId="0" borderId="0"/>
    <xf numFmtId="0" fontId="10" fillId="23" borderId="7" applyNumberFormat="0" applyFont="0" applyAlignment="0" applyProtection="0"/>
    <xf numFmtId="0" fontId="24" fillId="20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9" fillId="0" borderId="0"/>
    <xf numFmtId="0" fontId="28" fillId="0" borderId="0"/>
    <xf numFmtId="0" fontId="10" fillId="0" borderId="0"/>
    <xf numFmtId="43" fontId="28" fillId="0" borderId="0" applyFont="0" applyFill="0" applyBorder="0" applyAlignment="0" applyProtection="0"/>
    <xf numFmtId="0" fontId="29" fillId="0" borderId="0"/>
    <xf numFmtId="43" fontId="10" fillId="0" borderId="0" applyFont="0" applyFill="0" applyBorder="0" applyAlignment="0" applyProtection="0"/>
    <xf numFmtId="0" fontId="10" fillId="0" borderId="0"/>
    <xf numFmtId="44" fontId="29" fillId="0" borderId="0" applyFont="0" applyFill="0" applyBorder="0" applyAlignment="0" applyProtection="0"/>
    <xf numFmtId="0" fontId="8" fillId="0" borderId="0"/>
    <xf numFmtId="0" fontId="10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44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43" fontId="44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120">
    <xf numFmtId="0" fontId="0" fillId="0" borderId="0" xfId="0"/>
    <xf numFmtId="0" fontId="30" fillId="0" borderId="0" xfId="0" applyFont="1" applyAlignment="1">
      <alignment horizontal="center" vertical="top"/>
    </xf>
    <xf numFmtId="0" fontId="30" fillId="0" borderId="0" xfId="0" applyFont="1" applyAlignment="1">
      <alignment vertical="top"/>
    </xf>
    <xf numFmtId="0" fontId="30" fillId="0" borderId="0" xfId="0" applyFont="1" applyBorder="1" applyAlignment="1">
      <alignment horizontal="center" vertical="top"/>
    </xf>
    <xf numFmtId="0" fontId="35" fillId="20" borderId="12" xfId="39" applyFont="1" applyBorder="1" applyAlignment="1">
      <alignment horizontal="center" vertical="top"/>
    </xf>
    <xf numFmtId="41" fontId="30" fillId="0" borderId="0" xfId="45" applyNumberFormat="1" applyFont="1" applyFill="1" applyAlignment="1">
      <alignment vertical="center"/>
    </xf>
    <xf numFmtId="0" fontId="30" fillId="0" borderId="0" xfId="45" applyFont="1" applyFill="1" applyAlignment="1">
      <alignment vertical="center"/>
    </xf>
    <xf numFmtId="1" fontId="30" fillId="25" borderId="15" xfId="38" applyNumberFormat="1" applyFont="1" applyFill="1" applyBorder="1" applyAlignment="1">
      <alignment horizontal="center" vertical="top"/>
    </xf>
    <xf numFmtId="0" fontId="37" fillId="0" borderId="0" xfId="0" applyFont="1"/>
    <xf numFmtId="0" fontId="30" fillId="0" borderId="0" xfId="0" applyFont="1" applyFill="1" applyBorder="1" applyAlignment="1">
      <alignment horizontal="center" vertical="top"/>
    </xf>
    <xf numFmtId="0" fontId="34" fillId="0" borderId="9" xfId="41" applyFont="1" applyFill="1" applyBorder="1" applyAlignment="1">
      <alignment horizontal="left" vertical="top"/>
    </xf>
    <xf numFmtId="0" fontId="34" fillId="0" borderId="19" xfId="41" applyFont="1" applyFill="1" applyBorder="1" applyAlignment="1">
      <alignment horizontal="left" vertical="top"/>
    </xf>
    <xf numFmtId="0" fontId="33" fillId="0" borderId="0" xfId="0" applyFont="1" applyFill="1" applyAlignment="1">
      <alignment vertical="center"/>
    </xf>
    <xf numFmtId="0" fontId="32" fillId="0" borderId="0" xfId="0" applyFont="1" applyFill="1" applyAlignment="1">
      <alignment horizontal="center" vertical="center" wrapText="1"/>
    </xf>
    <xf numFmtId="0" fontId="36" fillId="24" borderId="11" xfId="34" applyFont="1" applyFill="1" applyBorder="1" applyAlignment="1" applyProtection="1">
      <alignment horizontal="center" vertical="center" wrapText="1"/>
    </xf>
    <xf numFmtId="2" fontId="36" fillId="24" borderId="11" xfId="34" applyNumberFormat="1" applyFont="1" applyFill="1" applyBorder="1" applyAlignment="1" applyProtection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5" fillId="20" borderId="12" xfId="39" applyFont="1" applyBorder="1" applyAlignment="1">
      <alignment horizontal="center" vertical="center"/>
    </xf>
    <xf numFmtId="1" fontId="30" fillId="25" borderId="15" xfId="38" applyNumberFormat="1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2" fontId="30" fillId="0" borderId="0" xfId="0" applyNumberFormat="1" applyFont="1" applyBorder="1" applyAlignment="1">
      <alignment horizontal="center" vertical="center" wrapText="1"/>
    </xf>
    <xf numFmtId="0" fontId="35" fillId="20" borderId="14" xfId="39" applyFont="1" applyBorder="1" applyAlignment="1">
      <alignment vertical="center"/>
    </xf>
    <xf numFmtId="9" fontId="30" fillId="25" borderId="7" xfId="38" applyNumberFormat="1" applyFont="1" applyFill="1" applyBorder="1" applyAlignment="1">
      <alignment horizontal="right" vertical="center"/>
    </xf>
    <xf numFmtId="41" fontId="30" fillId="25" borderId="7" xfId="38" applyNumberFormat="1" applyFont="1" applyFill="1" applyBorder="1" applyAlignment="1">
      <alignment horizontal="right" vertical="center"/>
    </xf>
    <xf numFmtId="164" fontId="34" fillId="0" borderId="9" xfId="41" applyNumberFormat="1" applyFont="1" applyFill="1" applyBorder="1" applyAlignment="1" applyProtection="1">
      <alignment horizontal="center" vertical="center"/>
    </xf>
    <xf numFmtId="0" fontId="34" fillId="0" borderId="9" xfId="41" applyFont="1" applyFill="1" applyBorder="1" applyAlignment="1">
      <alignment horizontal="center" vertical="center"/>
    </xf>
    <xf numFmtId="164" fontId="34" fillId="0" borderId="19" xfId="41" applyNumberFormat="1" applyFont="1" applyFill="1" applyBorder="1" applyAlignment="1" applyProtection="1">
      <alignment horizontal="center" vertical="center"/>
    </xf>
    <xf numFmtId="0" fontId="34" fillId="0" borderId="19" xfId="4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2" fontId="30" fillId="0" borderId="0" xfId="0" applyNumberFormat="1" applyFont="1" applyAlignment="1">
      <alignment horizontal="center" vertical="center" wrapText="1"/>
    </xf>
    <xf numFmtId="0" fontId="30" fillId="0" borderId="10" xfId="0" applyFont="1" applyBorder="1" applyAlignment="1">
      <alignment horizontal="center" vertical="center"/>
    </xf>
    <xf numFmtId="0" fontId="30" fillId="0" borderId="10" xfId="0" applyFont="1" applyFill="1" applyBorder="1" applyAlignment="1">
      <alignment horizontal="center" vertical="center"/>
    </xf>
    <xf numFmtId="1" fontId="30" fillId="25" borderId="15" xfId="38" applyNumberFormat="1" applyFont="1" applyFill="1" applyBorder="1" applyAlignment="1">
      <alignment horizontal="center" vertical="top"/>
    </xf>
    <xf numFmtId="1" fontId="30" fillId="25" borderId="15" xfId="38" applyNumberFormat="1" applyFont="1" applyFill="1" applyBorder="1" applyAlignment="1">
      <alignment horizontal="center" vertical="center"/>
    </xf>
    <xf numFmtId="9" fontId="30" fillId="25" borderId="7" xfId="38" applyNumberFormat="1" applyFont="1" applyFill="1" applyBorder="1" applyAlignment="1">
      <alignment horizontal="right" vertical="center"/>
    </xf>
    <xf numFmtId="41" fontId="30" fillId="25" borderId="7" xfId="38" applyNumberFormat="1" applyFont="1" applyFill="1" applyBorder="1" applyAlignment="1">
      <alignment horizontal="right" vertical="center"/>
    </xf>
    <xf numFmtId="0" fontId="30" fillId="25" borderId="7" xfId="38" applyFont="1" applyFill="1" applyBorder="1" applyAlignment="1">
      <alignment horizontal="center" vertical="center"/>
    </xf>
    <xf numFmtId="0" fontId="35" fillId="20" borderId="12" xfId="39" applyFont="1" applyBorder="1" applyAlignment="1">
      <alignment horizontal="center" vertical="top"/>
    </xf>
    <xf numFmtId="41" fontId="30" fillId="0" borderId="0" xfId="45" applyNumberFormat="1" applyFont="1" applyFill="1" applyAlignment="1">
      <alignment vertical="center"/>
    </xf>
    <xf numFmtId="0" fontId="30" fillId="0" borderId="0" xfId="45" applyFont="1" applyFill="1" applyAlignment="1">
      <alignment vertical="center"/>
    </xf>
    <xf numFmtId="0" fontId="35" fillId="20" borderId="14" xfId="39" applyFont="1" applyBorder="1" applyAlignment="1">
      <alignment vertical="center"/>
    </xf>
    <xf numFmtId="1" fontId="30" fillId="0" borderId="15" xfId="38" applyNumberFormat="1" applyFont="1" applyFill="1" applyBorder="1" applyAlignment="1">
      <alignment horizontal="center" vertical="center"/>
    </xf>
    <xf numFmtId="165" fontId="31" fillId="0" borderId="0" xfId="62" applyNumberFormat="1" applyFont="1" applyBorder="1" applyAlignment="1">
      <alignment vertical="center" wrapText="1"/>
    </xf>
    <xf numFmtId="165" fontId="30" fillId="0" borderId="0" xfId="62" applyNumberFormat="1" applyFont="1" applyBorder="1" applyAlignment="1">
      <alignment vertical="center" wrapText="1"/>
    </xf>
    <xf numFmtId="165" fontId="30" fillId="0" borderId="0" xfId="62" applyNumberFormat="1" applyFont="1" applyAlignment="1">
      <alignment vertical="center" wrapText="1"/>
    </xf>
    <xf numFmtId="165" fontId="39" fillId="0" borderId="21" xfId="62" applyNumberFormat="1" applyFont="1" applyBorder="1" applyAlignment="1">
      <alignment horizontal="center" vertical="center"/>
    </xf>
    <xf numFmtId="165" fontId="40" fillId="0" borderId="0" xfId="62" applyNumberFormat="1" applyFont="1" applyAlignment="1">
      <alignment horizontal="right" vertical="center"/>
    </xf>
    <xf numFmtId="165" fontId="40" fillId="0" borderId="0" xfId="62" applyNumberFormat="1" applyFont="1" applyAlignment="1">
      <alignment horizontal="center" vertical="center"/>
    </xf>
    <xf numFmtId="165" fontId="35" fillId="20" borderId="14" xfId="62" applyNumberFormat="1" applyFont="1" applyFill="1" applyBorder="1" applyAlignment="1">
      <alignment vertical="center"/>
    </xf>
    <xf numFmtId="165" fontId="30" fillId="25" borderId="7" xfId="62" applyNumberFormat="1" applyFont="1" applyFill="1" applyBorder="1" applyAlignment="1">
      <alignment vertical="center"/>
    </xf>
    <xf numFmtId="165" fontId="30" fillId="25" borderId="7" xfId="62" applyNumberFormat="1" applyFont="1" applyFill="1" applyBorder="1" applyAlignment="1" applyProtection="1">
      <alignment horizontal="left" vertical="center"/>
    </xf>
    <xf numFmtId="165" fontId="30" fillId="25" borderId="7" xfId="62" applyNumberFormat="1" applyFont="1" applyFill="1" applyBorder="1" applyAlignment="1">
      <alignment horizontal="right" vertical="center"/>
    </xf>
    <xf numFmtId="165" fontId="34" fillId="0" borderId="18" xfId="62" applyNumberFormat="1" applyFont="1" applyFill="1" applyBorder="1" applyAlignment="1">
      <alignment vertical="center"/>
    </xf>
    <xf numFmtId="165" fontId="34" fillId="0" borderId="9" xfId="62" applyNumberFormat="1" applyFont="1" applyFill="1" applyBorder="1" applyAlignment="1">
      <alignment vertical="center"/>
    </xf>
    <xf numFmtId="165" fontId="34" fillId="0" borderId="9" xfId="62" applyNumberFormat="1" applyFont="1" applyFill="1" applyBorder="1" applyAlignment="1">
      <alignment horizontal="center" vertical="center"/>
    </xf>
    <xf numFmtId="165" fontId="34" fillId="0" borderId="9" xfId="62" applyNumberFormat="1" applyFont="1" applyFill="1" applyBorder="1" applyAlignment="1">
      <alignment horizontal="left" vertical="center"/>
    </xf>
    <xf numFmtId="165" fontId="34" fillId="0" borderId="19" xfId="62" applyNumberFormat="1" applyFont="1" applyFill="1" applyBorder="1" applyAlignment="1">
      <alignment vertical="center"/>
    </xf>
    <xf numFmtId="165" fontId="34" fillId="0" borderId="19" xfId="62" applyNumberFormat="1" applyFont="1" applyFill="1" applyBorder="1" applyAlignment="1">
      <alignment horizontal="left" vertical="center"/>
    </xf>
    <xf numFmtId="165" fontId="30" fillId="0" borderId="0" xfId="62" applyNumberFormat="1" applyFont="1" applyAlignment="1">
      <alignment vertical="center"/>
    </xf>
    <xf numFmtId="165" fontId="30" fillId="0" borderId="0" xfId="62" applyNumberFormat="1" applyFont="1" applyBorder="1" applyAlignment="1">
      <alignment vertical="center"/>
    </xf>
    <xf numFmtId="165" fontId="35" fillId="20" borderId="11" xfId="62" applyNumberFormat="1" applyFont="1" applyFill="1" applyBorder="1" applyAlignment="1">
      <alignment vertical="center"/>
    </xf>
    <xf numFmtId="165" fontId="31" fillId="25" borderId="16" xfId="62" applyNumberFormat="1" applyFont="1" applyFill="1" applyBorder="1" applyAlignment="1" applyProtection="1">
      <alignment horizontal="left" vertical="center"/>
    </xf>
    <xf numFmtId="165" fontId="34" fillId="0" borderId="20" xfId="62" applyNumberFormat="1" applyFont="1" applyFill="1" applyBorder="1" applyAlignment="1">
      <alignment vertical="center"/>
    </xf>
    <xf numFmtId="9" fontId="34" fillId="0" borderId="9" xfId="63" applyFont="1" applyFill="1" applyBorder="1" applyAlignment="1">
      <alignment horizontal="center" vertical="center"/>
    </xf>
    <xf numFmtId="1" fontId="30" fillId="25" borderId="26" xfId="38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44" fontId="30" fillId="25" borderId="7" xfId="68" applyNumberFormat="1" applyFont="1" applyFill="1" applyBorder="1" applyAlignment="1">
      <alignment horizontal="right" vertical="center"/>
    </xf>
    <xf numFmtId="165" fontId="30" fillId="25" borderId="7" xfId="68" applyNumberFormat="1" applyFont="1" applyFill="1" applyBorder="1" applyAlignment="1">
      <alignment horizontal="right" vertical="center"/>
    </xf>
    <xf numFmtId="44" fontId="30" fillId="25" borderId="7" xfId="68" applyNumberFormat="1" applyFont="1" applyFill="1" applyBorder="1" applyAlignment="1">
      <alignment vertical="center"/>
    </xf>
    <xf numFmtId="165" fontId="30" fillId="25" borderId="7" xfId="68" applyNumberFormat="1" applyFont="1" applyFill="1" applyBorder="1" applyAlignment="1">
      <alignment vertical="center"/>
    </xf>
    <xf numFmtId="165" fontId="30" fillId="25" borderId="7" xfId="68" applyNumberFormat="1" applyFont="1" applyFill="1" applyBorder="1" applyAlignment="1" applyProtection="1">
      <alignment horizontal="left" vertical="center"/>
    </xf>
    <xf numFmtId="2" fontId="30" fillId="0" borderId="0" xfId="0" applyNumberFormat="1" applyFont="1" applyBorder="1" applyAlignment="1">
      <alignment vertical="center" wrapText="1"/>
    </xf>
    <xf numFmtId="0" fontId="35" fillId="20" borderId="13" xfId="39" applyFont="1" applyBorder="1" applyAlignment="1">
      <alignment vertical="center"/>
    </xf>
    <xf numFmtId="0" fontId="30" fillId="25" borderId="7" xfId="38" applyFont="1" applyFill="1" applyBorder="1" applyAlignment="1">
      <alignment horizontal="justify" vertical="center" wrapText="1"/>
    </xf>
    <xf numFmtId="0" fontId="34" fillId="0" borderId="9" xfId="41" applyFont="1" applyFill="1" applyBorder="1" applyAlignment="1">
      <alignment vertical="center"/>
    </xf>
    <xf numFmtId="0" fontId="34" fillId="0" borderId="19" xfId="41" applyFont="1" applyFill="1" applyBorder="1" applyAlignment="1">
      <alignment vertical="center"/>
    </xf>
    <xf numFmtId="2" fontId="30" fillId="0" borderId="0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 wrapText="1"/>
    </xf>
    <xf numFmtId="43" fontId="30" fillId="0" borderId="0" xfId="67" applyNumberFormat="1" applyFont="1" applyBorder="1" applyAlignment="1">
      <alignment horizontal="center" vertical="center" wrapText="1"/>
    </xf>
    <xf numFmtId="43" fontId="35" fillId="20" borderId="14" xfId="67" applyNumberFormat="1" applyFont="1" applyFill="1" applyBorder="1" applyAlignment="1">
      <alignment horizontal="center" vertical="center"/>
    </xf>
    <xf numFmtId="43" fontId="30" fillId="25" borderId="7" xfId="67" applyNumberFormat="1" applyFont="1" applyFill="1" applyBorder="1" applyAlignment="1">
      <alignment horizontal="center" vertical="center"/>
    </xf>
    <xf numFmtId="43" fontId="34" fillId="0" borderId="9" xfId="67" applyNumberFormat="1" applyFont="1" applyFill="1" applyBorder="1" applyAlignment="1" applyProtection="1">
      <alignment horizontal="center" vertical="center"/>
    </xf>
    <xf numFmtId="43" fontId="34" fillId="0" borderId="19" xfId="67" applyNumberFormat="1" applyFont="1" applyFill="1" applyBorder="1" applyAlignment="1" applyProtection="1">
      <alignment horizontal="center" vertical="center"/>
    </xf>
    <xf numFmtId="43" fontId="30" fillId="0" borderId="0" xfId="67" applyNumberFormat="1" applyFont="1" applyAlignment="1">
      <alignment horizontal="center" vertical="center"/>
    </xf>
    <xf numFmtId="0" fontId="30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left" vertical="center"/>
    </xf>
    <xf numFmtId="0" fontId="35" fillId="20" borderId="14" xfId="39" applyFont="1" applyBorder="1" applyAlignment="1">
      <alignment horizontal="center" vertical="center"/>
    </xf>
    <xf numFmtId="168" fontId="36" fillId="24" borderId="11" xfId="48" applyNumberFormat="1" applyFont="1" applyFill="1" applyBorder="1" applyAlignment="1" applyProtection="1">
      <alignment horizontal="center" vertical="center" wrapText="1"/>
    </xf>
    <xf numFmtId="165" fontId="36" fillId="24" borderId="11" xfId="68" applyNumberFormat="1" applyFont="1" applyFill="1" applyBorder="1" applyAlignment="1" applyProtection="1">
      <alignment horizontal="center" vertical="center" wrapText="1"/>
    </xf>
    <xf numFmtId="44" fontId="30" fillId="0" borderId="0" xfId="62" applyNumberFormat="1" applyFont="1" applyAlignment="1">
      <alignment vertical="center"/>
    </xf>
    <xf numFmtId="0" fontId="45" fillId="0" borderId="0" xfId="0" applyFont="1" applyAlignment="1">
      <alignment horizontal="center" vertical="center"/>
    </xf>
    <xf numFmtId="167" fontId="30" fillId="0" borderId="0" xfId="67" applyNumberFormat="1" applyFont="1" applyAlignment="1">
      <alignment horizontal="center" vertical="center" wrapText="1"/>
    </xf>
    <xf numFmtId="169" fontId="30" fillId="0" borderId="0" xfId="67" applyNumberFormat="1" applyFont="1" applyAlignment="1">
      <alignment vertical="center" wrapText="1"/>
    </xf>
    <xf numFmtId="1" fontId="30" fillId="25" borderId="11" xfId="38" applyNumberFormat="1" applyFont="1" applyFill="1" applyBorder="1" applyAlignment="1">
      <alignment horizontal="center" vertical="center"/>
    </xf>
    <xf numFmtId="43" fontId="30" fillId="25" borderId="7" xfId="67" applyFont="1" applyFill="1" applyBorder="1" applyAlignment="1">
      <alignment vertical="center"/>
    </xf>
    <xf numFmtId="43" fontId="30" fillId="0" borderId="0" xfId="67" applyFont="1" applyAlignment="1">
      <alignment vertical="center" wrapText="1"/>
    </xf>
    <xf numFmtId="9" fontId="30" fillId="25" borderId="7" xfId="38" applyNumberFormat="1" applyFont="1" applyFill="1" applyBorder="1" applyAlignment="1">
      <alignment horizontal="center" vertical="center"/>
    </xf>
    <xf numFmtId="43" fontId="30" fillId="25" borderId="7" xfId="67" applyFont="1" applyFill="1" applyBorder="1" applyAlignment="1">
      <alignment horizontal="right" vertical="center"/>
    </xf>
    <xf numFmtId="43" fontId="30" fillId="0" borderId="0" xfId="67" applyFont="1" applyAlignment="1">
      <alignment horizontal="center" vertical="center" wrapText="1"/>
    </xf>
    <xf numFmtId="1" fontId="31" fillId="25" borderId="11" xfId="38" applyNumberFormat="1" applyFont="1" applyFill="1" applyBorder="1" applyAlignment="1">
      <alignment vertical="center" wrapText="1"/>
    </xf>
    <xf numFmtId="0" fontId="43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 wrapText="1"/>
    </xf>
    <xf numFmtId="43" fontId="43" fillId="0" borderId="0" xfId="67" applyFont="1" applyAlignment="1">
      <alignment horizontal="center" vertical="center"/>
    </xf>
    <xf numFmtId="0" fontId="46" fillId="24" borderId="0" xfId="0" applyFont="1" applyFill="1" applyAlignment="1">
      <alignment horizontal="center" vertical="center"/>
    </xf>
    <xf numFmtId="0" fontId="47" fillId="0" borderId="0" xfId="0" applyFont="1" applyAlignment="1">
      <alignment horizontal="left" vertical="center" wrapText="1"/>
    </xf>
    <xf numFmtId="0" fontId="34" fillId="0" borderId="24" xfId="41" applyFont="1" applyFill="1" applyBorder="1" applyAlignment="1">
      <alignment horizontal="left" vertical="center"/>
    </xf>
    <xf numFmtId="0" fontId="34" fillId="0" borderId="25" xfId="41" applyFont="1" applyFill="1" applyBorder="1" applyAlignment="1">
      <alignment horizontal="left" vertical="center"/>
    </xf>
    <xf numFmtId="2" fontId="41" fillId="24" borderId="0" xfId="0" applyNumberFormat="1" applyFont="1" applyFill="1" applyAlignment="1">
      <alignment horizontal="center"/>
    </xf>
    <xf numFmtId="2" fontId="38" fillId="24" borderId="0" xfId="0" applyNumberFormat="1" applyFont="1" applyFill="1" applyAlignment="1">
      <alignment horizontal="center"/>
    </xf>
    <xf numFmtId="43" fontId="38" fillId="24" borderId="0" xfId="67" applyFont="1" applyFill="1" applyAlignment="1">
      <alignment horizontal="center"/>
    </xf>
    <xf numFmtId="0" fontId="34" fillId="0" borderId="22" xfId="41" applyFont="1" applyFill="1" applyBorder="1" applyAlignment="1">
      <alignment horizontal="left" vertical="center"/>
    </xf>
    <xf numFmtId="0" fontId="34" fillId="0" borderId="23" xfId="41" applyFont="1" applyFill="1" applyBorder="1" applyAlignment="1">
      <alignment horizontal="left" vertical="center"/>
    </xf>
    <xf numFmtId="0" fontId="34" fillId="0" borderId="17" xfId="41" applyFont="1" applyFill="1" applyBorder="1" applyAlignment="1">
      <alignment horizontal="left" vertical="center"/>
    </xf>
    <xf numFmtId="0" fontId="34" fillId="0" borderId="27" xfId="41" applyFont="1" applyFill="1" applyBorder="1" applyAlignment="1">
      <alignment horizontal="left" vertical="center"/>
    </xf>
    <xf numFmtId="1" fontId="31" fillId="25" borderId="28" xfId="38" applyNumberFormat="1" applyFont="1" applyFill="1" applyBorder="1" applyAlignment="1">
      <alignment horizontal="center" vertical="center" wrapText="1"/>
    </xf>
    <xf numFmtId="1" fontId="31" fillId="25" borderId="29" xfId="38" applyNumberFormat="1" applyFont="1" applyFill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</cellXfs>
  <cellStyles count="6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67" builtinId="3"/>
    <cellStyle name="Comma 2" xfId="46"/>
    <cellStyle name="Comma 2 2" xfId="48"/>
    <cellStyle name="Currency" xfId="62" builtinId="4"/>
    <cellStyle name="Currency 2" xfId="50"/>
    <cellStyle name="Currency 3" xfId="6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" xfId="64"/>
    <cellStyle name="Normal 11" xfId="65"/>
    <cellStyle name="Normal 12" xfId="66"/>
    <cellStyle name="Normal 2" xfId="44"/>
    <cellStyle name="Normal 2 2" xfId="47"/>
    <cellStyle name="Normal 2 3" xfId="45"/>
    <cellStyle name="Normal 2 3 2" xfId="52"/>
    <cellStyle name="Normal 3" xfId="37"/>
    <cellStyle name="Normal 4" xfId="43"/>
    <cellStyle name="Normal 4 2" xfId="53"/>
    <cellStyle name="Normal 4 2 2" xfId="58"/>
    <cellStyle name="Normal 4 3" xfId="51"/>
    <cellStyle name="Normal 4 3 2" xfId="57"/>
    <cellStyle name="Normal 4 4" xfId="56"/>
    <cellStyle name="Normal 5" xfId="49"/>
    <cellStyle name="Normal 6" xfId="55"/>
    <cellStyle name="Normal 7" xfId="54"/>
    <cellStyle name="Normal 7 2" xfId="59"/>
    <cellStyle name="Normal 8" xfId="60"/>
    <cellStyle name="Normal 9" xfId="61"/>
    <cellStyle name="Note" xfId="38" builtinId="10" customBuiltin="1"/>
    <cellStyle name="Output" xfId="39" builtinId="21" customBuiltin="1"/>
    <cellStyle name="Percent" xfId="63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244928</xdr:colOff>
      <xdr:row>1</xdr:row>
      <xdr:rowOff>68035</xdr:rowOff>
    </xdr:from>
    <xdr:to>
      <xdr:col>3</xdr:col>
      <xdr:colOff>122463</xdr:colOff>
      <xdr:row>6</xdr:row>
      <xdr:rowOff>29927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8" y="353785"/>
          <a:ext cx="2326821" cy="1281785"/>
        </a:xfrm>
        <a:prstGeom prst="rect">
          <a:avLst/>
        </a:prstGeom>
      </xdr:spPr>
    </xdr:pic>
    <xdr:clientData/>
  </xdr:twoCellAnchor>
  <xdr:twoCellAnchor editAs="oneCell">
    <xdr:from>
      <xdr:col>4</xdr:col>
      <xdr:colOff>5497285</xdr:colOff>
      <xdr:row>1</xdr:row>
      <xdr:rowOff>81644</xdr:rowOff>
    </xdr:from>
    <xdr:to>
      <xdr:col>10</xdr:col>
      <xdr:colOff>149679</xdr:colOff>
      <xdr:row>6</xdr:row>
      <xdr:rowOff>120925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6928" y="367394"/>
          <a:ext cx="4572001" cy="1359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abSelected="1" view="pageBreakPreview" zoomScale="70" zoomScaleNormal="70" zoomScaleSheetLayoutView="70" workbookViewId="0">
      <pane ySplit="8" topLeftCell="A9" activePane="bottomLeft" state="frozen"/>
      <selection pane="bottomLeft" activeCell="A2" sqref="A2:K7"/>
    </sheetView>
  </sheetViews>
  <sheetFormatPr defaultColWidth="8.88671875" defaultRowHeight="15.75" x14ac:dyDescent="0.2"/>
  <cols>
    <col min="1" max="1" width="9.21875" style="20" bestFit="1" customWidth="1"/>
    <col min="2" max="2" width="10.109375" style="20" customWidth="1"/>
    <col min="3" max="3" width="9.21875" style="20" customWidth="1"/>
    <col min="4" max="4" width="7.88671875" style="1" customWidth="1"/>
    <col min="5" max="5" width="71.21875" style="78" customWidth="1"/>
    <col min="6" max="6" width="8.6640625" style="96" bestFit="1" customWidth="1"/>
    <col min="7" max="7" width="7.33203125" style="30" bestFit="1" customWidth="1"/>
    <col min="8" max="8" width="10.109375" style="99" customWidth="1"/>
    <col min="9" max="9" width="5" style="20" customWidth="1"/>
    <col min="10" max="10" width="13.109375" style="45" customWidth="1"/>
    <col min="11" max="11" width="11.6640625" style="45" customWidth="1"/>
    <col min="12" max="12" width="13" style="45" customWidth="1"/>
    <col min="13" max="13" width="10.88671875" style="45" customWidth="1"/>
    <col min="14" max="14" width="12.33203125" style="45" bestFit="1" customWidth="1"/>
    <col min="15" max="15" width="12.44140625" style="59" customWidth="1"/>
    <col min="16" max="16" width="9.6640625" style="2"/>
    <col min="17" max="17" width="10.33203125" style="2" bestFit="1" customWidth="1"/>
    <col min="18" max="16384" width="8.88671875" style="2"/>
  </cols>
  <sheetData>
    <row r="1" spans="1:22" s="8" customFormat="1" ht="22.5" x14ac:dyDescent="0.3">
      <c r="A1" s="109" t="s">
        <v>7</v>
      </c>
      <c r="B1" s="110"/>
      <c r="C1" s="110"/>
      <c r="D1" s="110"/>
      <c r="E1" s="110"/>
      <c r="F1" s="111"/>
      <c r="G1" s="110"/>
      <c r="H1" s="111"/>
      <c r="I1" s="110"/>
      <c r="J1" s="110"/>
      <c r="K1" s="110"/>
      <c r="L1" s="110"/>
      <c r="M1" s="110"/>
      <c r="N1" s="110"/>
      <c r="O1" s="110"/>
    </row>
    <row r="2" spans="1:22" ht="20.25" customHeight="1" x14ac:dyDescent="0.2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43"/>
      <c r="M2" s="43"/>
      <c r="N2" s="44"/>
      <c r="O2" s="60"/>
    </row>
    <row r="3" spans="1:22" ht="21" thickBot="1" x14ac:dyDescent="0.25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M3" s="46" t="s">
        <v>8</v>
      </c>
      <c r="N3" s="46" t="s">
        <v>9</v>
      </c>
      <c r="O3" s="60"/>
    </row>
    <row r="4" spans="1:22" ht="20.25" x14ac:dyDescent="0.2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M4" s="47" t="s">
        <v>10</v>
      </c>
      <c r="N4" s="48">
        <f>N36</f>
        <v>160534.54478354999</v>
      </c>
      <c r="O4" s="60"/>
    </row>
    <row r="5" spans="1:22" ht="21" customHeight="1" x14ac:dyDescent="0.2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M5" s="47" t="s">
        <v>11</v>
      </c>
      <c r="N5" s="48">
        <f>SUM(O37:O38)</f>
        <v>48160.363435064995</v>
      </c>
      <c r="O5" s="60"/>
    </row>
    <row r="6" spans="1:22" ht="20.25" x14ac:dyDescent="0.2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M6" s="47" t="s">
        <v>12</v>
      </c>
      <c r="N6" s="48">
        <f>N4+N5</f>
        <v>208694.90821861499</v>
      </c>
      <c r="O6" s="60"/>
    </row>
    <row r="7" spans="1:22" ht="16.5" customHeight="1" x14ac:dyDescent="0.2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43"/>
      <c r="M7" s="43"/>
      <c r="N7" s="44"/>
      <c r="O7" s="60"/>
    </row>
    <row r="8" spans="1:22" s="13" customFormat="1" ht="31.5" x14ac:dyDescent="0.2">
      <c r="A8" s="14" t="s">
        <v>24</v>
      </c>
      <c r="B8" s="14" t="s">
        <v>25</v>
      </c>
      <c r="C8" s="14" t="s">
        <v>26</v>
      </c>
      <c r="D8" s="14" t="s">
        <v>27</v>
      </c>
      <c r="E8" s="15" t="s">
        <v>28</v>
      </c>
      <c r="F8" s="88" t="s">
        <v>29</v>
      </c>
      <c r="G8" s="15" t="s">
        <v>30</v>
      </c>
      <c r="H8" s="88" t="s">
        <v>31</v>
      </c>
      <c r="I8" s="14" t="s">
        <v>32</v>
      </c>
      <c r="J8" s="89" t="s">
        <v>33</v>
      </c>
      <c r="K8" s="89" t="s">
        <v>34</v>
      </c>
      <c r="L8" s="89" t="s">
        <v>35</v>
      </c>
      <c r="M8" s="89" t="s">
        <v>36</v>
      </c>
      <c r="N8" s="89" t="s">
        <v>37</v>
      </c>
      <c r="O8" s="89" t="s">
        <v>38</v>
      </c>
      <c r="P8" s="12"/>
      <c r="Q8" s="12"/>
      <c r="R8" s="12"/>
      <c r="S8" s="12"/>
      <c r="T8" s="12"/>
      <c r="U8" s="12"/>
      <c r="V8" s="12"/>
    </row>
    <row r="9" spans="1:22" s="6" customFormat="1" x14ac:dyDescent="0.2">
      <c r="A9" s="17"/>
      <c r="B9" s="17"/>
      <c r="C9" s="17"/>
      <c r="D9" s="4" t="s">
        <v>20</v>
      </c>
      <c r="E9" s="73" t="s">
        <v>4</v>
      </c>
      <c r="F9" s="80"/>
      <c r="G9" s="22"/>
      <c r="H9" s="22"/>
      <c r="I9" s="87"/>
      <c r="J9" s="49"/>
      <c r="K9" s="49"/>
      <c r="L9" s="49"/>
      <c r="M9" s="49"/>
      <c r="N9" s="49"/>
      <c r="O9" s="61">
        <f>SUM(N10:N19)</f>
        <v>0</v>
      </c>
      <c r="P9" s="5"/>
    </row>
    <row r="10" spans="1:22" s="6" customFormat="1" x14ac:dyDescent="0.2">
      <c r="A10" s="42"/>
      <c r="B10" s="18"/>
      <c r="C10" s="18"/>
      <c r="D10" s="7"/>
      <c r="E10" s="74"/>
      <c r="F10" s="81"/>
      <c r="G10" s="23"/>
      <c r="H10" s="24"/>
      <c r="I10" s="37"/>
      <c r="J10" s="50"/>
      <c r="K10" s="50"/>
      <c r="L10" s="50"/>
      <c r="M10" s="50"/>
      <c r="N10" s="51"/>
      <c r="O10" s="62"/>
      <c r="P10" s="5"/>
    </row>
    <row r="11" spans="1:22" s="6" customFormat="1" x14ac:dyDescent="0.2">
      <c r="A11" s="18">
        <f>IF(I11&lt;&gt;"",1+MAX($A9:A$9),"")</f>
        <v>1</v>
      </c>
      <c r="B11" s="18"/>
      <c r="C11" s="18"/>
      <c r="D11" s="7"/>
      <c r="E11" s="74" t="s">
        <v>5</v>
      </c>
      <c r="F11" s="95">
        <v>1</v>
      </c>
      <c r="G11" s="97">
        <v>0</v>
      </c>
      <c r="H11" s="98">
        <f t="shared" ref="H11:H18" si="0">F11*(1+G11)</f>
        <v>1</v>
      </c>
      <c r="I11" s="37" t="s">
        <v>19</v>
      </c>
      <c r="J11" s="67">
        <v>0</v>
      </c>
      <c r="K11" s="68">
        <f t="shared" ref="K11:K18" si="1">J11*H11</f>
        <v>0</v>
      </c>
      <c r="L11" s="69">
        <v>0</v>
      </c>
      <c r="M11" s="70">
        <f t="shared" ref="M11:M18" si="2">L11*H11</f>
        <v>0</v>
      </c>
      <c r="N11" s="71">
        <f t="shared" ref="N11:N18" si="3">(J11+L11)*H11</f>
        <v>0</v>
      </c>
      <c r="O11" s="62"/>
      <c r="P11" s="5"/>
    </row>
    <row r="12" spans="1:22" s="6" customFormat="1" x14ac:dyDescent="0.2">
      <c r="A12" s="18">
        <f>IF(I12&lt;&gt;"",1+MAX($A$9:A11),"")</f>
        <v>2</v>
      </c>
      <c r="B12" s="18"/>
      <c r="C12" s="18"/>
      <c r="D12" s="7"/>
      <c r="E12" s="74" t="s">
        <v>6</v>
      </c>
      <c r="F12" s="95">
        <v>1</v>
      </c>
      <c r="G12" s="97">
        <v>0</v>
      </c>
      <c r="H12" s="98">
        <f t="shared" si="0"/>
        <v>1</v>
      </c>
      <c r="I12" s="37" t="s">
        <v>19</v>
      </c>
      <c r="J12" s="67">
        <v>0</v>
      </c>
      <c r="K12" s="68">
        <f t="shared" si="1"/>
        <v>0</v>
      </c>
      <c r="L12" s="69">
        <v>0</v>
      </c>
      <c r="M12" s="70">
        <f t="shared" si="2"/>
        <v>0</v>
      </c>
      <c r="N12" s="71">
        <f t="shared" si="3"/>
        <v>0</v>
      </c>
      <c r="O12" s="62"/>
      <c r="P12" s="5"/>
    </row>
    <row r="13" spans="1:22" s="6" customFormat="1" x14ac:dyDescent="0.2">
      <c r="A13" s="18">
        <f>IF(I13&lt;&gt;"",1+MAX($A$9:A12),"")</f>
        <v>3</v>
      </c>
      <c r="B13" s="18"/>
      <c r="C13" s="18"/>
      <c r="D13" s="7"/>
      <c r="E13" s="74" t="s">
        <v>13</v>
      </c>
      <c r="F13" s="95">
        <v>1</v>
      </c>
      <c r="G13" s="97">
        <v>0</v>
      </c>
      <c r="H13" s="98">
        <f t="shared" si="0"/>
        <v>1</v>
      </c>
      <c r="I13" s="37" t="s">
        <v>19</v>
      </c>
      <c r="J13" s="67">
        <v>0</v>
      </c>
      <c r="K13" s="68">
        <f t="shared" si="1"/>
        <v>0</v>
      </c>
      <c r="L13" s="69">
        <v>0</v>
      </c>
      <c r="M13" s="70">
        <f t="shared" si="2"/>
        <v>0</v>
      </c>
      <c r="N13" s="71">
        <f t="shared" si="3"/>
        <v>0</v>
      </c>
      <c r="O13" s="62"/>
      <c r="P13" s="5"/>
    </row>
    <row r="14" spans="1:22" s="6" customFormat="1" x14ac:dyDescent="0.2">
      <c r="A14" s="18">
        <f>IF(I14&lt;&gt;"",1+MAX($A$9:A13),"")</f>
        <v>4</v>
      </c>
      <c r="B14" s="18"/>
      <c r="C14" s="18"/>
      <c r="D14" s="7"/>
      <c r="E14" s="74" t="s">
        <v>14</v>
      </c>
      <c r="F14" s="95">
        <v>1</v>
      </c>
      <c r="G14" s="97">
        <v>0</v>
      </c>
      <c r="H14" s="98">
        <f t="shared" si="0"/>
        <v>1</v>
      </c>
      <c r="I14" s="37" t="s">
        <v>19</v>
      </c>
      <c r="J14" s="67">
        <v>0</v>
      </c>
      <c r="K14" s="68">
        <f t="shared" si="1"/>
        <v>0</v>
      </c>
      <c r="L14" s="69">
        <v>0</v>
      </c>
      <c r="M14" s="70">
        <f t="shared" si="2"/>
        <v>0</v>
      </c>
      <c r="N14" s="71">
        <f t="shared" si="3"/>
        <v>0</v>
      </c>
      <c r="O14" s="62"/>
      <c r="P14" s="5"/>
    </row>
    <row r="15" spans="1:22" s="6" customFormat="1" x14ac:dyDescent="0.2">
      <c r="A15" s="18">
        <f>IF(I15&lt;&gt;"",1+MAX($A$9:A14),"")</f>
        <v>5</v>
      </c>
      <c r="B15" s="18"/>
      <c r="C15" s="18"/>
      <c r="D15" s="7"/>
      <c r="E15" s="74" t="s">
        <v>15</v>
      </c>
      <c r="F15" s="95">
        <v>1</v>
      </c>
      <c r="G15" s="97">
        <v>0</v>
      </c>
      <c r="H15" s="98">
        <f t="shared" si="0"/>
        <v>1</v>
      </c>
      <c r="I15" s="37" t="s">
        <v>19</v>
      </c>
      <c r="J15" s="67">
        <v>0</v>
      </c>
      <c r="K15" s="68">
        <f t="shared" si="1"/>
        <v>0</v>
      </c>
      <c r="L15" s="69">
        <v>0</v>
      </c>
      <c r="M15" s="70">
        <f t="shared" si="2"/>
        <v>0</v>
      </c>
      <c r="N15" s="71">
        <f t="shared" si="3"/>
        <v>0</v>
      </c>
      <c r="O15" s="62"/>
      <c r="P15" s="5"/>
    </row>
    <row r="16" spans="1:22" s="6" customFormat="1" x14ac:dyDescent="0.2">
      <c r="A16" s="18">
        <f>IF(I16&lt;&gt;"",1+MAX($A$9:A15),"")</f>
        <v>6</v>
      </c>
      <c r="B16" s="18"/>
      <c r="C16" s="18"/>
      <c r="D16" s="7"/>
      <c r="E16" s="74" t="s">
        <v>16</v>
      </c>
      <c r="F16" s="95">
        <v>1</v>
      </c>
      <c r="G16" s="97">
        <v>0</v>
      </c>
      <c r="H16" s="98">
        <f t="shared" si="0"/>
        <v>1</v>
      </c>
      <c r="I16" s="37" t="s">
        <v>19</v>
      </c>
      <c r="J16" s="67">
        <v>0</v>
      </c>
      <c r="K16" s="68">
        <f t="shared" si="1"/>
        <v>0</v>
      </c>
      <c r="L16" s="69">
        <v>0</v>
      </c>
      <c r="M16" s="70">
        <f t="shared" si="2"/>
        <v>0</v>
      </c>
      <c r="N16" s="71">
        <f t="shared" si="3"/>
        <v>0</v>
      </c>
      <c r="O16" s="62"/>
      <c r="P16" s="5"/>
    </row>
    <row r="17" spans="1:16" s="6" customFormat="1" x14ac:dyDescent="0.2">
      <c r="A17" s="18">
        <f>IF(I17&lt;&gt;"",1+MAX($A$9:A16),"")</f>
        <v>7</v>
      </c>
      <c r="B17" s="18"/>
      <c r="C17" s="18"/>
      <c r="D17" s="7"/>
      <c r="E17" s="74" t="s">
        <v>17</v>
      </c>
      <c r="F17" s="95">
        <v>1</v>
      </c>
      <c r="G17" s="97">
        <v>0</v>
      </c>
      <c r="H17" s="98">
        <f t="shared" si="0"/>
        <v>1</v>
      </c>
      <c r="I17" s="37" t="s">
        <v>19</v>
      </c>
      <c r="J17" s="67">
        <v>0</v>
      </c>
      <c r="K17" s="68">
        <f t="shared" si="1"/>
        <v>0</v>
      </c>
      <c r="L17" s="69">
        <v>0</v>
      </c>
      <c r="M17" s="70">
        <f t="shared" si="2"/>
        <v>0</v>
      </c>
      <c r="N17" s="71">
        <f t="shared" si="3"/>
        <v>0</v>
      </c>
      <c r="O17" s="62"/>
      <c r="P17" s="5"/>
    </row>
    <row r="18" spans="1:16" s="6" customFormat="1" x14ac:dyDescent="0.2">
      <c r="A18" s="18">
        <f>IF(I18&lt;&gt;"",1+MAX($A$9:A17),"")</f>
        <v>8</v>
      </c>
      <c r="B18" s="18"/>
      <c r="C18" s="18"/>
      <c r="D18" s="7"/>
      <c r="E18" s="74" t="s">
        <v>18</v>
      </c>
      <c r="F18" s="95">
        <v>1</v>
      </c>
      <c r="G18" s="97">
        <v>0</v>
      </c>
      <c r="H18" s="98">
        <f t="shared" si="0"/>
        <v>1</v>
      </c>
      <c r="I18" s="66" t="s">
        <v>19</v>
      </c>
      <c r="J18" s="67">
        <v>0</v>
      </c>
      <c r="K18" s="68">
        <f t="shared" si="1"/>
        <v>0</v>
      </c>
      <c r="L18" s="69">
        <v>0</v>
      </c>
      <c r="M18" s="70">
        <f t="shared" si="2"/>
        <v>0</v>
      </c>
      <c r="N18" s="71">
        <f t="shared" si="3"/>
        <v>0</v>
      </c>
      <c r="O18" s="62"/>
      <c r="P18" s="5"/>
    </row>
    <row r="19" spans="1:16" s="40" customFormat="1" x14ac:dyDescent="0.2">
      <c r="A19" s="34" t="str">
        <f>IF(I19&lt;&gt;"",1+MAX($A$9:A18),"")</f>
        <v/>
      </c>
      <c r="B19" s="34"/>
      <c r="C19" s="34"/>
      <c r="D19" s="33"/>
      <c r="E19" s="74"/>
      <c r="F19" s="81"/>
      <c r="G19" s="35"/>
      <c r="H19" s="36"/>
      <c r="I19" s="37"/>
      <c r="J19" s="52"/>
      <c r="K19" s="52"/>
      <c r="L19" s="50"/>
      <c r="M19" s="50"/>
      <c r="N19" s="51"/>
      <c r="O19" s="62"/>
      <c r="P19" s="39"/>
    </row>
    <row r="20" spans="1:16" s="40" customFormat="1" x14ac:dyDescent="0.2">
      <c r="A20" s="17"/>
      <c r="B20" s="17"/>
      <c r="C20" s="17"/>
      <c r="D20" s="38" t="s">
        <v>41</v>
      </c>
      <c r="E20" s="73" t="s">
        <v>42</v>
      </c>
      <c r="F20" s="80"/>
      <c r="G20" s="41"/>
      <c r="H20" s="41"/>
      <c r="I20" s="87"/>
      <c r="J20" s="49"/>
      <c r="K20" s="49"/>
      <c r="L20" s="49"/>
      <c r="M20" s="49"/>
      <c r="N20" s="49"/>
      <c r="O20" s="61">
        <f>SUM(N21:N35)</f>
        <v>160534.54478354999</v>
      </c>
      <c r="P20" s="39"/>
    </row>
    <row r="21" spans="1:16" s="40" customFormat="1" x14ac:dyDescent="0.2">
      <c r="A21" s="34" t="str">
        <f>IF(I21&lt;&gt;"",1+MAX($A$9:A20),"")</f>
        <v/>
      </c>
      <c r="B21" s="65"/>
      <c r="C21" s="34"/>
      <c r="D21" s="33"/>
      <c r="E21" s="74" t="s">
        <v>39</v>
      </c>
      <c r="F21" s="81"/>
      <c r="G21" s="35"/>
      <c r="H21" s="36"/>
      <c r="I21" s="37"/>
      <c r="J21" s="50"/>
      <c r="K21" s="50"/>
      <c r="L21" s="50"/>
      <c r="M21" s="50"/>
      <c r="N21" s="51"/>
      <c r="O21" s="62"/>
      <c r="P21" s="39"/>
    </row>
    <row r="22" spans="1:16" s="40" customFormat="1" ht="15.75" customHeight="1" x14ac:dyDescent="0.2">
      <c r="A22" s="34" t="str">
        <f>IF(I22&lt;&gt;"",1+MAX($A$9:A21),"")</f>
        <v/>
      </c>
      <c r="B22" s="100"/>
      <c r="C22" s="34"/>
      <c r="D22" s="33"/>
      <c r="E22" s="105" t="s">
        <v>50</v>
      </c>
      <c r="F22" s="95"/>
      <c r="G22" s="97"/>
      <c r="H22" s="98"/>
      <c r="I22" s="91"/>
      <c r="J22" s="67"/>
      <c r="K22" s="68"/>
      <c r="L22" s="69"/>
      <c r="M22" s="70"/>
      <c r="N22" s="71"/>
      <c r="O22" s="62"/>
      <c r="P22" s="39"/>
    </row>
    <row r="23" spans="1:16" s="40" customFormat="1" ht="15.75" customHeight="1" x14ac:dyDescent="0.2">
      <c r="A23" s="34" t="str">
        <f>IF(I23&lt;&gt;"",1+MAX($A$9:A22),"")</f>
        <v/>
      </c>
      <c r="B23" s="116" t="s">
        <v>43</v>
      </c>
      <c r="C23" s="34"/>
      <c r="D23" s="33"/>
      <c r="E23" s="74" t="s">
        <v>39</v>
      </c>
      <c r="F23" s="95"/>
      <c r="G23" s="97"/>
      <c r="H23" s="98"/>
      <c r="I23" s="91"/>
      <c r="J23" s="67"/>
      <c r="K23" s="68"/>
      <c r="L23" s="69"/>
      <c r="M23" s="70"/>
      <c r="N23" s="71"/>
      <c r="O23" s="62"/>
      <c r="P23" s="39"/>
    </row>
    <row r="24" spans="1:16" s="40" customFormat="1" x14ac:dyDescent="0.2">
      <c r="A24" s="34" t="str">
        <f>IF(I24&lt;&gt;"",1+MAX($A$9:A23),"")</f>
        <v/>
      </c>
      <c r="B24" s="117"/>
      <c r="C24" s="34"/>
      <c r="D24" s="33"/>
      <c r="E24" s="106" t="s">
        <v>44</v>
      </c>
      <c r="F24" s="104"/>
      <c r="G24" s="97"/>
      <c r="H24" s="98"/>
      <c r="I24" s="66"/>
      <c r="J24" s="67"/>
      <c r="K24" s="68"/>
      <c r="L24" s="69"/>
      <c r="M24" s="70"/>
      <c r="N24" s="71"/>
      <c r="O24" s="62"/>
      <c r="P24" s="39"/>
    </row>
    <row r="25" spans="1:16" s="40" customFormat="1" ht="31.5" x14ac:dyDescent="0.2">
      <c r="A25" s="34">
        <f>IF(I25&lt;&gt;"",1+MAX($A$9:A24),"")</f>
        <v>9</v>
      </c>
      <c r="B25" s="117"/>
      <c r="C25" s="34"/>
      <c r="D25" s="33"/>
      <c r="E25" s="103" t="s">
        <v>45</v>
      </c>
      <c r="F25" s="104">
        <v>640.04230000000007</v>
      </c>
      <c r="G25" s="97">
        <v>0.05</v>
      </c>
      <c r="H25" s="98">
        <f t="shared" ref="H25:H33" si="4">F25*(1+G25)</f>
        <v>672.04441500000007</v>
      </c>
      <c r="I25" s="66" t="s">
        <v>51</v>
      </c>
      <c r="J25" s="67">
        <v>5.66</v>
      </c>
      <c r="K25" s="68">
        <f t="shared" ref="K25" si="5">J25*H25</f>
        <v>3803.7713889000006</v>
      </c>
      <c r="L25" s="69">
        <v>17.29</v>
      </c>
      <c r="M25" s="70">
        <f t="shared" ref="M25" si="6">L25*H25</f>
        <v>11619.64793535</v>
      </c>
      <c r="N25" s="71">
        <f t="shared" ref="N25" si="7">(J25+L25)*H25</f>
        <v>15423.41932425</v>
      </c>
      <c r="O25" s="62"/>
      <c r="P25" s="39"/>
    </row>
    <row r="26" spans="1:16" s="40" customFormat="1" x14ac:dyDescent="0.2">
      <c r="A26" s="34">
        <f>IF(I26&lt;&gt;"",1+MAX($A$9:A25),"")</f>
        <v>10</v>
      </c>
      <c r="B26" s="117"/>
      <c r="C26" s="34"/>
      <c r="D26" s="33"/>
      <c r="E26" s="103" t="s">
        <v>46</v>
      </c>
      <c r="F26" s="104">
        <v>98.820000000000007</v>
      </c>
      <c r="G26" s="97">
        <v>0.05</v>
      </c>
      <c r="H26" s="98">
        <f t="shared" si="4"/>
        <v>103.76100000000001</v>
      </c>
      <c r="I26" s="66" t="s">
        <v>52</v>
      </c>
      <c r="J26" s="67">
        <v>12.48</v>
      </c>
      <c r="K26" s="68">
        <f t="shared" ref="K26:K31" si="8">J26*H26</f>
        <v>1294.9372800000001</v>
      </c>
      <c r="L26" s="69">
        <v>26.95</v>
      </c>
      <c r="M26" s="70">
        <f t="shared" ref="M26:M34" si="9">L26*H26</f>
        <v>2796.3589500000003</v>
      </c>
      <c r="N26" s="71">
        <f t="shared" ref="N26:N34" si="10">(J26+L26)*H26</f>
        <v>4091.2962300000004</v>
      </c>
      <c r="O26" s="62"/>
      <c r="P26" s="39"/>
    </row>
    <row r="27" spans="1:16" s="40" customFormat="1" x14ac:dyDescent="0.2">
      <c r="A27" s="34" t="str">
        <f>IF(I27&lt;&gt;"",1+MAX($A$9:A26),"")</f>
        <v/>
      </c>
      <c r="B27" s="117"/>
      <c r="C27" s="34"/>
      <c r="D27" s="33"/>
      <c r="E27" s="106" t="s">
        <v>47</v>
      </c>
      <c r="F27" s="104"/>
      <c r="G27" s="97"/>
      <c r="H27" s="98"/>
      <c r="I27" s="66"/>
      <c r="J27" s="67"/>
      <c r="K27" s="68"/>
      <c r="L27" s="69"/>
      <c r="M27" s="70"/>
      <c r="N27" s="71"/>
      <c r="O27" s="62"/>
      <c r="P27" s="39"/>
    </row>
    <row r="28" spans="1:16" s="40" customFormat="1" ht="31.5" x14ac:dyDescent="0.2">
      <c r="A28" s="34">
        <f>IF(I28&lt;&gt;"",1+MAX($A$9:A27),"")</f>
        <v>11</v>
      </c>
      <c r="B28" s="117"/>
      <c r="C28" s="34"/>
      <c r="D28" s="33"/>
      <c r="E28" s="103" t="s">
        <v>45</v>
      </c>
      <c r="F28" s="104">
        <v>1941.2233000000001</v>
      </c>
      <c r="G28" s="97">
        <v>0.05</v>
      </c>
      <c r="H28" s="98">
        <f t="shared" si="4"/>
        <v>2038.2844650000002</v>
      </c>
      <c r="I28" s="66" t="s">
        <v>51</v>
      </c>
      <c r="J28" s="67">
        <v>5.66</v>
      </c>
      <c r="K28" s="68">
        <f t="shared" ref="K28:K29" si="11">J28*H28</f>
        <v>11536.6900719</v>
      </c>
      <c r="L28" s="69">
        <v>17.29</v>
      </c>
      <c r="M28" s="70">
        <f t="shared" si="9"/>
        <v>35241.938399849998</v>
      </c>
      <c r="N28" s="71">
        <f t="shared" si="10"/>
        <v>46778.628471750002</v>
      </c>
      <c r="O28" s="62"/>
      <c r="P28" s="39"/>
    </row>
    <row r="29" spans="1:16" s="40" customFormat="1" x14ac:dyDescent="0.2">
      <c r="A29" s="34">
        <f>IF(I29&lt;&gt;"",1+MAX($A$9:A28),"")</f>
        <v>12</v>
      </c>
      <c r="B29" s="117"/>
      <c r="C29" s="34"/>
      <c r="D29" s="33"/>
      <c r="E29" s="103" t="s">
        <v>46</v>
      </c>
      <c r="F29" s="104">
        <v>180.93</v>
      </c>
      <c r="G29" s="97">
        <v>0.05</v>
      </c>
      <c r="H29" s="98">
        <f t="shared" si="4"/>
        <v>189.97650000000002</v>
      </c>
      <c r="I29" s="66" t="s">
        <v>52</v>
      </c>
      <c r="J29" s="67">
        <v>12.48</v>
      </c>
      <c r="K29" s="68">
        <f t="shared" si="11"/>
        <v>2370.9067200000004</v>
      </c>
      <c r="L29" s="69">
        <v>26.95</v>
      </c>
      <c r="M29" s="70">
        <f t="shared" si="9"/>
        <v>5119.8666750000002</v>
      </c>
      <c r="N29" s="71">
        <f t="shared" si="10"/>
        <v>7490.7733950000002</v>
      </c>
      <c r="O29" s="62"/>
      <c r="P29" s="39"/>
    </row>
    <row r="30" spans="1:16" s="40" customFormat="1" ht="31.5" x14ac:dyDescent="0.2">
      <c r="A30" s="34">
        <f>IF(I30&lt;&gt;"",1+MAX($A$9:A29),"")</f>
        <v>13</v>
      </c>
      <c r="B30" s="117"/>
      <c r="C30" s="34"/>
      <c r="D30" s="33"/>
      <c r="E30" s="103" t="s">
        <v>53</v>
      </c>
      <c r="F30" s="104">
        <v>572.25689999999997</v>
      </c>
      <c r="G30" s="97">
        <v>0.05</v>
      </c>
      <c r="H30" s="98">
        <f t="shared" si="4"/>
        <v>600.86974499999997</v>
      </c>
      <c r="I30" s="66" t="s">
        <v>51</v>
      </c>
      <c r="J30" s="67">
        <v>9.43</v>
      </c>
      <c r="K30" s="68">
        <f t="shared" si="8"/>
        <v>5666.2016953499997</v>
      </c>
      <c r="L30" s="69">
        <v>27.16</v>
      </c>
      <c r="M30" s="70">
        <f t="shared" si="9"/>
        <v>16319.622274199999</v>
      </c>
      <c r="N30" s="71">
        <f t="shared" si="10"/>
        <v>21985.823969550001</v>
      </c>
      <c r="O30" s="62"/>
      <c r="P30" s="39"/>
    </row>
    <row r="31" spans="1:16" s="40" customFormat="1" x14ac:dyDescent="0.2">
      <c r="A31" s="34">
        <f>IF(I31&lt;&gt;"",1+MAX($A$9:A30),"")</f>
        <v>14</v>
      </c>
      <c r="B31" s="117"/>
      <c r="C31" s="34"/>
      <c r="D31" s="33"/>
      <c r="E31" s="101" t="s">
        <v>48</v>
      </c>
      <c r="F31" s="104">
        <v>42.93</v>
      </c>
      <c r="G31" s="97">
        <v>0.05</v>
      </c>
      <c r="H31" s="98">
        <f t="shared" si="4"/>
        <v>45.076500000000003</v>
      </c>
      <c r="I31" s="66" t="s">
        <v>52</v>
      </c>
      <c r="J31" s="67">
        <v>18.14</v>
      </c>
      <c r="K31" s="68">
        <f t="shared" si="8"/>
        <v>817.68771000000004</v>
      </c>
      <c r="L31" s="69">
        <v>40.68</v>
      </c>
      <c r="M31" s="70">
        <f t="shared" si="9"/>
        <v>1833.7120200000002</v>
      </c>
      <c r="N31" s="71">
        <f t="shared" si="10"/>
        <v>2651.3997300000001</v>
      </c>
      <c r="O31" s="62"/>
      <c r="P31" s="39"/>
    </row>
    <row r="32" spans="1:16" s="40" customFormat="1" x14ac:dyDescent="0.2">
      <c r="A32" s="34" t="str">
        <f>IF(I32&lt;&gt;"",1+MAX($A$9:A31),"")</f>
        <v/>
      </c>
      <c r="B32" s="117"/>
      <c r="C32" s="34"/>
      <c r="D32" s="33"/>
      <c r="E32" s="106" t="s">
        <v>49</v>
      </c>
      <c r="F32" s="102"/>
      <c r="G32" s="97"/>
      <c r="H32" s="98"/>
      <c r="I32" s="66"/>
      <c r="J32" s="67"/>
      <c r="K32" s="68"/>
      <c r="L32" s="69"/>
      <c r="M32" s="70"/>
      <c r="N32" s="71"/>
      <c r="O32" s="62"/>
      <c r="P32" s="39"/>
    </row>
    <row r="33" spans="1:16" s="40" customFormat="1" ht="15.75" customHeight="1" x14ac:dyDescent="0.2">
      <c r="A33" s="34">
        <f>IF(I33&lt;&gt;"",1+MAX($A$9:A32),"")</f>
        <v>15</v>
      </c>
      <c r="B33" s="117"/>
      <c r="C33" s="34"/>
      <c r="D33" s="33"/>
      <c r="E33" s="101" t="s">
        <v>45</v>
      </c>
      <c r="F33" s="95">
        <v>2161.7168000000001</v>
      </c>
      <c r="G33" s="97">
        <v>0.05</v>
      </c>
      <c r="H33" s="98">
        <f t="shared" si="4"/>
        <v>2269.8026400000003</v>
      </c>
      <c r="I33" s="91" t="s">
        <v>51</v>
      </c>
      <c r="J33" s="67">
        <v>5.66</v>
      </c>
      <c r="K33" s="68">
        <f t="shared" ref="K33:K34" si="12">J33*H33</f>
        <v>12847.082942400002</v>
      </c>
      <c r="L33" s="69">
        <v>17.29</v>
      </c>
      <c r="M33" s="70">
        <f t="shared" si="9"/>
        <v>39244.887645600007</v>
      </c>
      <c r="N33" s="71">
        <f t="shared" si="10"/>
        <v>52091.970588000004</v>
      </c>
      <c r="O33" s="62"/>
      <c r="P33" s="39"/>
    </row>
    <row r="34" spans="1:16" s="40" customFormat="1" ht="15.75" customHeight="1" x14ac:dyDescent="0.2">
      <c r="A34" s="34">
        <f>IF(I34&lt;&gt;"",1+MAX($A$9:A33),"")</f>
        <v>16</v>
      </c>
      <c r="B34" s="117"/>
      <c r="C34" s="34"/>
      <c r="D34" s="33"/>
      <c r="E34" s="101" t="s">
        <v>46</v>
      </c>
      <c r="F34" s="95">
        <v>242.05</v>
      </c>
      <c r="G34" s="97">
        <v>0.05</v>
      </c>
      <c r="H34" s="98">
        <f t="shared" ref="H34" si="13">F34*(1+G34)</f>
        <v>254.15250000000003</v>
      </c>
      <c r="I34" s="66" t="s">
        <v>52</v>
      </c>
      <c r="J34" s="67">
        <v>12.48</v>
      </c>
      <c r="K34" s="68">
        <f t="shared" si="12"/>
        <v>3171.8232000000007</v>
      </c>
      <c r="L34" s="69">
        <v>26.95</v>
      </c>
      <c r="M34" s="70">
        <f t="shared" si="9"/>
        <v>6849.4098750000003</v>
      </c>
      <c r="N34" s="71">
        <f t="shared" si="10"/>
        <v>10021.233075000002</v>
      </c>
      <c r="O34" s="62"/>
      <c r="P34" s="39"/>
    </row>
    <row r="35" spans="1:16" s="40" customFormat="1" x14ac:dyDescent="0.2">
      <c r="A35" s="34" t="str">
        <f>IF(I35&lt;&gt;"",1+MAX($A$9:A34),"")</f>
        <v/>
      </c>
      <c r="B35" s="94"/>
      <c r="C35" s="34"/>
      <c r="D35" s="33"/>
      <c r="E35" s="74" t="s">
        <v>39</v>
      </c>
      <c r="F35" s="81"/>
      <c r="G35" s="35"/>
      <c r="H35" s="36"/>
      <c r="I35" s="37"/>
      <c r="J35" s="52"/>
      <c r="K35" s="52"/>
      <c r="L35" s="50"/>
      <c r="M35" s="50"/>
      <c r="N35" s="51"/>
      <c r="O35" s="62"/>
      <c r="P35" s="39"/>
    </row>
    <row r="36" spans="1:16" ht="16.5" thickBot="1" x14ac:dyDescent="0.25">
      <c r="A36" s="114" t="s">
        <v>0</v>
      </c>
      <c r="B36" s="115"/>
      <c r="C36" s="26"/>
      <c r="D36" s="10"/>
      <c r="E36" s="75"/>
      <c r="F36" s="82"/>
      <c r="G36" s="25"/>
      <c r="H36" s="25"/>
      <c r="I36" s="75"/>
      <c r="J36" s="75" t="s">
        <v>21</v>
      </c>
      <c r="K36" s="53">
        <f>SUM(K9:K35)</f>
        <v>41509.101008550002</v>
      </c>
      <c r="L36" s="54" t="s">
        <v>22</v>
      </c>
      <c r="M36" s="53">
        <f>SUM(M9:M35)</f>
        <v>119025.44377500001</v>
      </c>
      <c r="N36" s="53">
        <f>SUM(N9:N35)</f>
        <v>160534.54478354999</v>
      </c>
      <c r="O36" s="53">
        <f>SUM(O9:O35)</f>
        <v>160534.54478354999</v>
      </c>
    </row>
    <row r="37" spans="1:16" ht="17.25" thickTop="1" thickBot="1" x14ac:dyDescent="0.25">
      <c r="A37" s="112" t="s">
        <v>3</v>
      </c>
      <c r="B37" s="113"/>
      <c r="C37" s="26"/>
      <c r="D37" s="10"/>
      <c r="E37" s="75"/>
      <c r="F37" s="82"/>
      <c r="G37" s="25"/>
      <c r="H37" s="25"/>
      <c r="I37" s="26"/>
      <c r="J37" s="64">
        <v>0.05</v>
      </c>
      <c r="K37" s="55"/>
      <c r="L37" s="55"/>
      <c r="M37" s="55"/>
      <c r="N37" s="56">
        <f>J37*N36</f>
        <v>8026.7272391775005</v>
      </c>
      <c r="O37" s="53">
        <f>J37*O36</f>
        <v>8026.7272391775005</v>
      </c>
    </row>
    <row r="38" spans="1:16" ht="17.25" thickTop="1" thickBot="1" x14ac:dyDescent="0.25">
      <c r="A38" s="112" t="s">
        <v>2</v>
      </c>
      <c r="B38" s="113"/>
      <c r="C38" s="26"/>
      <c r="D38" s="10"/>
      <c r="E38" s="75"/>
      <c r="F38" s="82"/>
      <c r="G38" s="25"/>
      <c r="H38" s="25"/>
      <c r="I38" s="26"/>
      <c r="J38" s="64">
        <v>0.25</v>
      </c>
      <c r="K38" s="55"/>
      <c r="L38" s="55"/>
      <c r="M38" s="55"/>
      <c r="N38" s="56">
        <f>J38*N36</f>
        <v>40133.636195887499</v>
      </c>
      <c r="O38" s="53">
        <f>J38*O36</f>
        <v>40133.636195887499</v>
      </c>
    </row>
    <row r="39" spans="1:16" ht="16.5" thickTop="1" x14ac:dyDescent="0.2">
      <c r="A39" s="107" t="s">
        <v>1</v>
      </c>
      <c r="B39" s="108"/>
      <c r="C39" s="28"/>
      <c r="D39" s="11"/>
      <c r="E39" s="76"/>
      <c r="F39" s="83"/>
      <c r="G39" s="27"/>
      <c r="H39" s="27"/>
      <c r="I39" s="28"/>
      <c r="J39" s="57"/>
      <c r="K39" s="57"/>
      <c r="L39" s="57"/>
      <c r="M39" s="57"/>
      <c r="N39" s="58">
        <f>SUM(N36:N38)</f>
        <v>208694.90821861499</v>
      </c>
      <c r="O39" s="63">
        <f>SUM(O36:O38)</f>
        <v>208694.90821861499</v>
      </c>
    </row>
    <row r="40" spans="1:16" x14ac:dyDescent="0.2">
      <c r="A40" s="31"/>
      <c r="B40" s="16"/>
      <c r="C40" s="16"/>
      <c r="D40" s="3"/>
      <c r="E40" s="72"/>
      <c r="F40" s="79"/>
      <c r="G40" s="21"/>
      <c r="H40" s="21"/>
      <c r="I40" s="16"/>
      <c r="J40" s="67"/>
      <c r="K40" s="68"/>
      <c r="L40" s="69"/>
      <c r="M40" s="43"/>
      <c r="N40" s="44"/>
      <c r="O40" s="60"/>
    </row>
    <row r="41" spans="1:16" x14ac:dyDescent="0.2">
      <c r="A41" s="86" t="s">
        <v>23</v>
      </c>
      <c r="B41" s="16"/>
      <c r="C41" s="16"/>
      <c r="D41" s="3"/>
      <c r="E41" s="77"/>
      <c r="F41" s="84"/>
      <c r="G41" s="29"/>
      <c r="H41" s="30"/>
      <c r="N41" s="59"/>
      <c r="O41" s="90"/>
    </row>
    <row r="42" spans="1:16" x14ac:dyDescent="0.2">
      <c r="A42" s="85"/>
      <c r="B42" s="16"/>
      <c r="C42" s="16"/>
      <c r="D42" s="3"/>
      <c r="E42" s="77"/>
      <c r="F42" s="84"/>
      <c r="G42" s="29"/>
      <c r="H42" s="30"/>
      <c r="N42" s="59"/>
    </row>
    <row r="43" spans="1:16" x14ac:dyDescent="0.2">
      <c r="A43" s="85" t="s">
        <v>40</v>
      </c>
      <c r="B43" s="16"/>
      <c r="C43" s="16"/>
      <c r="D43" s="3"/>
      <c r="E43" s="77"/>
      <c r="F43" s="84"/>
      <c r="G43" s="29"/>
      <c r="H43" s="30"/>
      <c r="N43" s="59"/>
    </row>
    <row r="44" spans="1:16" x14ac:dyDescent="0.2">
      <c r="A44" s="85"/>
      <c r="B44" s="16"/>
      <c r="C44" s="16"/>
      <c r="D44" s="3"/>
      <c r="E44" s="77"/>
      <c r="F44" s="84"/>
      <c r="G44" s="29"/>
      <c r="H44" s="30"/>
      <c r="N44" s="59"/>
    </row>
    <row r="45" spans="1:16" x14ac:dyDescent="0.2">
      <c r="A45" s="31"/>
      <c r="B45" s="16"/>
      <c r="C45" s="16"/>
      <c r="D45" s="3"/>
      <c r="E45" s="72"/>
      <c r="F45" s="84"/>
      <c r="H45" s="30"/>
      <c r="N45" s="59"/>
    </row>
    <row r="46" spans="1:16" x14ac:dyDescent="0.2">
      <c r="A46" s="31"/>
      <c r="B46" s="16"/>
      <c r="C46" s="16"/>
      <c r="D46" s="3"/>
      <c r="E46" s="72"/>
      <c r="F46" s="84"/>
      <c r="G46" s="29"/>
      <c r="H46" s="21"/>
      <c r="I46" s="16"/>
      <c r="J46" s="59"/>
      <c r="K46" s="59"/>
      <c r="L46" s="59"/>
      <c r="M46" s="59"/>
      <c r="N46" s="59"/>
    </row>
    <row r="47" spans="1:16" x14ac:dyDescent="0.2">
      <c r="A47" s="32"/>
      <c r="B47" s="19"/>
      <c r="C47" s="19"/>
      <c r="D47" s="9"/>
      <c r="E47" s="72"/>
      <c r="F47" s="84"/>
      <c r="G47" s="29"/>
      <c r="H47" s="21"/>
      <c r="I47" s="16"/>
      <c r="J47" s="59"/>
      <c r="K47" s="59"/>
      <c r="L47" s="59"/>
      <c r="M47" s="59"/>
      <c r="N47" s="59"/>
    </row>
    <row r="48" spans="1:16" x14ac:dyDescent="0.2">
      <c r="A48" s="16"/>
      <c r="B48" s="16"/>
      <c r="C48" s="16"/>
      <c r="D48" s="3"/>
      <c r="E48" s="72"/>
      <c r="F48" s="84"/>
      <c r="G48" s="29"/>
      <c r="H48" s="21"/>
      <c r="I48" s="16"/>
      <c r="J48" s="59"/>
      <c r="K48" s="59"/>
      <c r="L48" s="59"/>
      <c r="M48" s="59"/>
      <c r="N48" s="59"/>
    </row>
    <row r="49" spans="6:14" x14ac:dyDescent="0.2">
      <c r="F49" s="84"/>
      <c r="H49" s="30"/>
      <c r="J49" s="59"/>
      <c r="K49" s="59"/>
      <c r="L49" s="59"/>
      <c r="M49" s="59"/>
      <c r="N49" s="59"/>
    </row>
    <row r="50" spans="6:14" x14ac:dyDescent="0.2">
      <c r="F50" s="84"/>
      <c r="H50" s="30"/>
      <c r="J50" s="59"/>
      <c r="K50" s="59"/>
      <c r="L50" s="59"/>
      <c r="M50" s="59"/>
      <c r="N50" s="59"/>
    </row>
    <row r="51" spans="6:14" x14ac:dyDescent="0.2">
      <c r="F51" s="93"/>
      <c r="H51" s="92"/>
    </row>
  </sheetData>
  <mergeCells count="7">
    <mergeCell ref="A39:B39"/>
    <mergeCell ref="A1:O1"/>
    <mergeCell ref="A38:B38"/>
    <mergeCell ref="A36:B36"/>
    <mergeCell ref="A37:B37"/>
    <mergeCell ref="B23:B34"/>
    <mergeCell ref="A2:K7"/>
  </mergeCells>
  <printOptions horizontalCentered="1"/>
  <pageMargins left="0.43307086614173201" right="0.43307086614173201" top="0.39370078740157499" bottom="0.39370078740157499" header="0.196850393700787" footer="0.196850393700787"/>
  <pageSetup paperSize="9" scale="33" orientation="portrait" r:id="rId1"/>
  <headerFooter>
    <oddFooter>&amp;C&amp;P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C9C7F9-BAC7-4523-A744-1D803E64256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DETAIL</vt:lpstr>
      <vt:lpstr>DETAIL!Print_Area</vt:lpstr>
      <vt:lpstr>DETAIL!Print_Titles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2013-07-08T09:36:48Z</dcterms:created>
  <dcterms:modified xsi:type="dcterms:W3CDTF">2022-08-10T16:42:18Z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{E3C9C7F9-BAC7-4523-A744-1D803E64256B}</vt:lpwstr>
  </property>
</Properties>
</file>