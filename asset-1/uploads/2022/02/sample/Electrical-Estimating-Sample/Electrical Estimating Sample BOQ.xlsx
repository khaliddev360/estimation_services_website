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0" yWindow="0" windowWidth="24000" windowHeight="9735"/>
  </bookViews>
  <sheets>
    <sheet name="Breakdown" sheetId="1" r:id="rId1"/>
  </sheets>
  <definedNames>
    <definedName name="_xlnm._FilterDatabase" localSheetId="0" hidden="1">Breakdown!$H$19:$I$220</definedName>
    <definedName name="_xlnm.Print_Area" localSheetId="0">Breakdown!$A$2:$J$229</definedName>
    <definedName name="_xlnm.Print_Titles" localSheetId="0">Breakdown!$1:$7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J226" i="1"/>
  <c r="J225" i="1"/>
  <c r="J224" i="1"/>
  <c r="J223" i="1"/>
  <c r="J220" i="1"/>
  <c r="J16" i="1"/>
  <c r="A21" i="1" l="1"/>
  <c r="A22" i="1" s="1"/>
  <c r="A28" i="1"/>
  <c r="A59" i="1"/>
  <c r="A66" i="1"/>
  <c r="A73" i="1"/>
  <c r="A79" i="1"/>
  <c r="A86" i="1"/>
  <c r="A118" i="1"/>
  <c r="A128" i="1"/>
  <c r="A138" i="1"/>
  <c r="A148" i="1"/>
  <c r="A164" i="1"/>
  <c r="A182" i="1"/>
  <c r="A201" i="1"/>
  <c r="I119" i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4" i="1"/>
  <c r="I74" i="1" s="1"/>
  <c r="H75" i="1"/>
  <c r="I75" i="1" s="1"/>
  <c r="H76" i="1"/>
  <c r="I76" i="1" s="1"/>
  <c r="H77" i="1"/>
  <c r="I77" i="1" s="1"/>
  <c r="H78" i="1"/>
  <c r="I78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9" i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0" i="1"/>
  <c r="A23" i="1" l="1"/>
  <c r="A24" i="1" l="1"/>
  <c r="A25" i="1" s="1"/>
  <c r="A26" i="1" l="1"/>
  <c r="A27" i="1" l="1"/>
  <c r="A29" i="1"/>
  <c r="A30" i="1" l="1"/>
  <c r="A31" i="1" s="1"/>
  <c r="A32" i="1" l="1"/>
  <c r="A33" i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60" i="1" s="1"/>
  <c r="A61" i="1" s="1"/>
  <c r="A62" i="1" s="1"/>
  <c r="A63" i="1" s="1"/>
  <c r="A64" i="1" s="1"/>
  <c r="A65" i="1" s="1"/>
  <c r="A67" i="1" s="1"/>
  <c r="A68" i="1" s="1"/>
  <c r="A69" i="1" s="1"/>
  <c r="A70" i="1" s="1"/>
  <c r="A71" i="1" s="1"/>
  <c r="A72" i="1" s="1"/>
  <c r="A74" i="1" s="1"/>
  <c r="A75" i="1" s="1"/>
  <c r="A76" i="1" s="1"/>
  <c r="A77" i="1" s="1"/>
  <c r="A78" i="1" s="1"/>
  <c r="A80" i="1" s="1"/>
  <c r="A81" i="1" s="1"/>
  <c r="A82" i="1" s="1"/>
  <c r="A83" i="1" s="1"/>
  <c r="A84" i="1" s="1"/>
  <c r="A85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9" i="1" s="1"/>
  <c r="A120" i="1" s="1"/>
  <c r="A121" i="1" s="1"/>
  <c r="A122" i="1" s="1"/>
  <c r="A123" i="1" s="1"/>
  <c r="A124" i="1" s="1"/>
  <c r="A125" i="1" s="1"/>
  <c r="A126" i="1" s="1"/>
  <c r="A127" i="1" s="1"/>
  <c r="A129" i="1" s="1"/>
  <c r="A130" i="1" s="1"/>
  <c r="A131" i="1" s="1"/>
  <c r="A132" i="1" s="1"/>
  <c r="A133" i="1" s="1"/>
  <c r="A134" i="1" s="1"/>
  <c r="A135" i="1" s="1"/>
  <c r="A136" i="1" s="1"/>
  <c r="A137" i="1" s="1"/>
  <c r="A139" i="1" s="1"/>
  <c r="A140" i="1" s="1"/>
  <c r="A141" i="1" s="1"/>
  <c r="A142" i="1" s="1"/>
  <c r="A143" i="1" s="1"/>
  <c r="A144" i="1" s="1"/>
  <c r="A145" i="1" s="1"/>
  <c r="A146" i="1" s="1"/>
  <c r="A147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H10" i="1" l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9" i="1"/>
  <c r="A19" i="1" l="1"/>
  <c r="H220" i="1"/>
  <c r="I220" i="1" s="1"/>
  <c r="A10" i="1" l="1"/>
  <c r="A11" i="1" l="1"/>
  <c r="A12" i="1" s="1"/>
  <c r="A13" i="1" l="1"/>
  <c r="A16" i="1"/>
  <c r="A14" i="1" l="1"/>
  <c r="A15" i="1" s="1"/>
  <c r="A20" i="1" l="1"/>
  <c r="I9" i="1"/>
  <c r="J222" i="1" l="1"/>
</calcChain>
</file>

<file path=xl/sharedStrings.xml><?xml version="1.0" encoding="utf-8"?>
<sst xmlns="http://schemas.openxmlformats.org/spreadsheetml/2006/main" count="422" uniqueCount="118">
  <si>
    <t>ITEM #</t>
  </si>
  <si>
    <t>DWG. #</t>
  </si>
  <si>
    <t>DESCRIPTION</t>
  </si>
  <si>
    <t>QUANTITY</t>
  </si>
  <si>
    <t>UNIT</t>
  </si>
  <si>
    <t>GENERAL REQUIREMENTS</t>
  </si>
  <si>
    <t>Supervision</t>
  </si>
  <si>
    <t>Mobilization Costs</t>
  </si>
  <si>
    <t>Project Overheads</t>
  </si>
  <si>
    <t>Bonds</t>
  </si>
  <si>
    <t>OVERHEAD</t>
  </si>
  <si>
    <t>INSURANCE</t>
  </si>
  <si>
    <t>TOTAL BASE BID</t>
  </si>
  <si>
    <t>CONTINGENCY</t>
  </si>
  <si>
    <t>Permits</t>
  </si>
  <si>
    <t>LS</t>
  </si>
  <si>
    <t>Note:</t>
  </si>
  <si>
    <t>TRADE  COST</t>
  </si>
  <si>
    <t>Subtotal (General Requirements)</t>
  </si>
  <si>
    <t>SUBTOTAL</t>
  </si>
  <si>
    <t>Final Clean-up</t>
  </si>
  <si>
    <t>Temporary Control &amp; Facilities</t>
  </si>
  <si>
    <t>TOTAL COST</t>
  </si>
  <si>
    <t>MATERIAL</t>
  </si>
  <si>
    <t>LABOR</t>
  </si>
  <si>
    <r>
      <t xml:space="preserve">UNIT COST
</t>
    </r>
    <r>
      <rPr>
        <b/>
        <sz val="8"/>
        <color theme="0"/>
        <rFont val="Calibri"/>
        <family val="2"/>
        <scheme val="minor"/>
      </rPr>
      <t>(Labor + Material)</t>
    </r>
  </si>
  <si>
    <t>EA</t>
  </si>
  <si>
    <t>Junction Box</t>
  </si>
  <si>
    <t>Outlet</t>
  </si>
  <si>
    <t>Emergency Outlet</t>
  </si>
  <si>
    <t>Fire Alarm Annunciator Panel</t>
  </si>
  <si>
    <t>Smoke Detector</t>
  </si>
  <si>
    <t>Single Pole Switch</t>
  </si>
  <si>
    <t>Telephone Outlet</t>
  </si>
  <si>
    <t>Outlet Box</t>
  </si>
  <si>
    <t>Combination Outlet and Data Box</t>
  </si>
  <si>
    <t>Waterproof Outlet</t>
  </si>
  <si>
    <t>C/T and Meter (2000 A)</t>
  </si>
  <si>
    <t>Switchboard (2000 A)</t>
  </si>
  <si>
    <t>Mechanical Pool Electrical Panel</t>
  </si>
  <si>
    <t>Damper</t>
  </si>
  <si>
    <t>Pool Heater Control Panel</t>
  </si>
  <si>
    <t>Wall Mounted TV</t>
  </si>
  <si>
    <t>Data Outlet</t>
  </si>
  <si>
    <t>Duplex Receptacle</t>
  </si>
  <si>
    <t>Speaker</t>
  </si>
  <si>
    <t>Fire Alarm</t>
  </si>
  <si>
    <t>Pull Switch</t>
  </si>
  <si>
    <t>Horn</t>
  </si>
  <si>
    <t>Rescue Assistance Call Station</t>
  </si>
  <si>
    <t>Door Activation Switch</t>
  </si>
  <si>
    <t>Sounder</t>
  </si>
  <si>
    <t>Electrical Panel (208 V)</t>
  </si>
  <si>
    <t>Strobe</t>
  </si>
  <si>
    <t>Electrical Power and Systems - First Floor Plan</t>
  </si>
  <si>
    <t>Double Data Outlet</t>
  </si>
  <si>
    <t>Electrical Power and Systems - Third Floor Plan</t>
  </si>
  <si>
    <t>Electrical Power and Systems - Second Floor Plan</t>
  </si>
  <si>
    <t>Electrical Power and Systems - Fourth Floor Plan</t>
  </si>
  <si>
    <t>Disconnect Switch</t>
  </si>
  <si>
    <t>Electrical Roof Plan</t>
  </si>
  <si>
    <t>Roof Panel</t>
  </si>
  <si>
    <t>Switch</t>
  </si>
  <si>
    <t>Time Clock</t>
  </si>
  <si>
    <t>FT</t>
  </si>
  <si>
    <t>13 Dimmers</t>
  </si>
  <si>
    <t>Light Fixture</t>
  </si>
  <si>
    <t>Electrical Lighting - first Floor Plan</t>
  </si>
  <si>
    <t>Electrical Lighting - Second Floor Plan</t>
  </si>
  <si>
    <t>Electrical Lighting - Third Floor Plan</t>
  </si>
  <si>
    <t>Electrical Lighting - Fourth Floor Plan</t>
  </si>
  <si>
    <t>Sconce</t>
  </si>
  <si>
    <t>Recessed Downlight</t>
  </si>
  <si>
    <t>Electrical Panel</t>
  </si>
  <si>
    <t>WAP Light</t>
  </si>
  <si>
    <t>Queen Studio</t>
  </si>
  <si>
    <t>Recessed Ceiling Light</t>
  </si>
  <si>
    <t>3 Way Switch</t>
  </si>
  <si>
    <t>Nightlight</t>
  </si>
  <si>
    <t>Thermostat</t>
  </si>
  <si>
    <t>Transformer</t>
  </si>
  <si>
    <t>C/T and Meter</t>
  </si>
  <si>
    <t>Switch Board</t>
  </si>
  <si>
    <t>Electrical Site Plan</t>
  </si>
  <si>
    <t xml:space="preserve">Queen One Bedroom - 1 </t>
  </si>
  <si>
    <t>Night Light</t>
  </si>
  <si>
    <t xml:space="preserve">Queen One Bedroom - 2 ADA / Connecting </t>
  </si>
  <si>
    <t>Queen One Bedroom - 2</t>
  </si>
  <si>
    <t>Single Head Lithonia Site Light</t>
  </si>
  <si>
    <t>Twin Head Lithonia Site Light</t>
  </si>
  <si>
    <t>Exterior Sconce</t>
  </si>
  <si>
    <t>Recessed Night Downlight</t>
  </si>
  <si>
    <t>Recessed Wall Wash</t>
  </si>
  <si>
    <t>Recessed Downlight W/ Lens</t>
  </si>
  <si>
    <t>Recessed Night Downlight W/ Lens</t>
  </si>
  <si>
    <t>Exterior Recessed Downlight</t>
  </si>
  <si>
    <t>Battery 6 Volt Emergency Light W/ 2 Heads</t>
  </si>
  <si>
    <t>LED Lamps Single Face Exit Light</t>
  </si>
  <si>
    <t>Small Recessed Downlight (Halogen Lamp)</t>
  </si>
  <si>
    <t xml:space="preserve">Surface Mounted Fixture </t>
  </si>
  <si>
    <t>Weatherproof Egress Twin Head Light</t>
  </si>
  <si>
    <t>Exterior Heavy Duty Light String</t>
  </si>
  <si>
    <t>Wall Sconce @ Pool</t>
  </si>
  <si>
    <t>Wall Sconce @ Entry</t>
  </si>
  <si>
    <t>(2x4) Lay In Floor Fixture</t>
  </si>
  <si>
    <t>(1x4) Surface Mounted Fluorescent Light</t>
  </si>
  <si>
    <t>Exit Light</t>
  </si>
  <si>
    <t>Wall Mounted Strip Light (4 Feet)</t>
  </si>
  <si>
    <t>Wall Sconce</t>
  </si>
  <si>
    <t>Round Suspended Light Fixture</t>
  </si>
  <si>
    <t>Square Surface Mounted Fixture</t>
  </si>
  <si>
    <t>Suspended Light Fixture</t>
  </si>
  <si>
    <t>Recessed Fluorescent Cove Light (4 Feet)</t>
  </si>
  <si>
    <t>DIVISION 26- ELECTRICAL</t>
  </si>
  <si>
    <t>Subtotal (Electrical)</t>
  </si>
  <si>
    <t>Master Rescue Assistance Panel</t>
  </si>
  <si>
    <t>Inground Upplight</t>
  </si>
  <si>
    <t>Elevator Pit Lamp holder W/ Glass Globe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</si>
</sst>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&quot;$&quot;#,##0"/>
    <numFmt numFmtId="166" formatCode="0.0%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0000B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name val="Calibri"/>
      <family val="2"/>
    </font>
    <font>
      <b/>
      <sz val="8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0" xfId="0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4" xfId="0" applyFont="1" applyFill="1" applyBorder="1" applyAlignment="1">
      <alignment horizontal="centerContinuous" vertical="center"/>
    </xf>
    <xf numFmtId="0" fontId="9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Continuous" vertical="center"/>
    </xf>
    <xf numFmtId="0" fontId="8" fillId="3" borderId="7" xfId="0" applyFont="1" applyFill="1" applyBorder="1" applyAlignment="1">
      <alignment horizontal="centerContinuous" vertical="center"/>
    </xf>
    <xf numFmtId="0" fontId="9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8" xfId="0" applyFont="1" applyFill="1" applyBorder="1" applyAlignment="1">
      <alignment horizontal="centerContinuous" vertical="center"/>
    </xf>
    <xf numFmtId="0" fontId="10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Continuous" vertical="center"/>
    </xf>
    <xf numFmtId="0" fontId="11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Continuous" vertical="center"/>
    </xf>
    <xf numFmtId="0" fontId="8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Continuous" vertical="center"/>
    </xf>
    <xf numFmtId="0" fontId="4" fillId="0" borderId="7" xfId="0" applyFont="1" applyBorder="1" applyAlignment="1">
      <alignment horizontal="right" vertical="center"/>
    </xf>
    <xf numFmtId="0" fontId="4" fillId="0" borderId="9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Continuous" vertical="center"/>
    </xf>
    <xf numFmtId="0" fontId="8" fillId="0" borderId="2" xfId="0" applyFont="1" applyBorder="1" applyAlignment="1">
      <alignment horizontal="center" vertical="center"/>
    </xf>
    <xf numFmtId="0" fontId="8" fillId="0" borderId="6" xfId="0" applyFont="1" applyBorder="1" applyAlignment="1">
      <alignment horizontal="centerContinuous" vertical="center"/>
    </xf>
    <xf numFmtId="0" fontId="0" fillId="0" borderId="3" xfId="0" applyBorder="1" applyAlignment="1">
      <alignment vertical="center"/>
    </xf>
    <xf numFmtId="0" fontId="12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" fillId="3" borderId="7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/>
    </xf>
    <xf numFmtId="14" fontId="1" fillId="3" borderId="0" xfId="0" applyNumberFormat="1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/>
    </xf>
    <xf numFmtId="165" fontId="2" fillId="7" borderId="1" xfId="0" applyNumberFormat="1" applyFont="1" applyFill="1" applyBorder="1" applyAlignment="1">
      <alignment vertical="center"/>
    </xf>
    <xf numFmtId="166" fontId="17" fillId="7" borderId="0" xfId="0" applyNumberFormat="1" applyFont="1" applyFill="1" applyAlignment="1">
      <alignment horizontal="center" vertical="center"/>
    </xf>
    <xf numFmtId="164" fontId="16" fillId="7" borderId="3" xfId="0" applyNumberFormat="1" applyFont="1" applyFill="1" applyBorder="1" applyAlignment="1">
      <alignment vertical="center"/>
    </xf>
    <xf numFmtId="164" fontId="16" fillId="7" borderId="3" xfId="0" applyNumberFormat="1" applyFont="1" applyFill="1" applyBorder="1" applyAlignment="1">
      <alignment horizontal="center" vertical="center"/>
    </xf>
    <xf numFmtId="164" fontId="16" fillId="7" borderId="5" xfId="0" applyNumberFormat="1" applyFont="1" applyFill="1" applyBorder="1" applyAlignment="1">
      <alignment vertical="center"/>
    </xf>
    <xf numFmtId="9" fontId="16" fillId="7" borderId="0" xfId="0" applyNumberFormat="1" applyFont="1" applyFill="1" applyAlignment="1">
      <alignment vertical="center"/>
    </xf>
    <xf numFmtId="166" fontId="17" fillId="7" borderId="0" xfId="0" applyNumberFormat="1" applyFont="1" applyFill="1" applyAlignment="1">
      <alignment vertical="center"/>
    </xf>
    <xf numFmtId="164" fontId="16" fillId="7" borderId="8" xfId="0" applyNumberFormat="1" applyFont="1" applyFill="1" applyBorder="1" applyAlignment="1">
      <alignment vertical="center"/>
    </xf>
    <xf numFmtId="0" fontId="17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vertical="center"/>
    </xf>
    <xf numFmtId="9" fontId="17" fillId="7" borderId="0" xfId="0" applyNumberFormat="1" applyFont="1" applyFill="1" applyAlignment="1">
      <alignment horizontal="center" vertical="center"/>
    </xf>
    <xf numFmtId="9" fontId="17" fillId="7" borderId="0" xfId="0" applyNumberFormat="1" applyFont="1" applyFill="1" applyAlignment="1">
      <alignment vertical="center"/>
    </xf>
    <xf numFmtId="166" fontId="14" fillId="8" borderId="2" xfId="0" applyNumberFormat="1" applyFont="1" applyFill="1" applyBorder="1" applyAlignment="1">
      <alignment vertical="center"/>
    </xf>
    <xf numFmtId="166" fontId="14" fillId="8" borderId="2" xfId="0" applyNumberFormat="1" applyFont="1" applyFill="1" applyBorder="1" applyAlignment="1">
      <alignment horizontal="center" vertical="center"/>
    </xf>
    <xf numFmtId="164" fontId="15" fillId="8" borderId="6" xfId="0" applyNumberFormat="1" applyFont="1" applyFill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8" fillId="4" borderId="9" xfId="0" applyFont="1" applyFill="1" applyBorder="1" applyAlignment="1">
      <alignment horizontal="left" vertical="center"/>
    </xf>
    <xf numFmtId="0" fontId="18" fillId="4" borderId="2" xfId="0" applyFont="1" applyFill="1" applyBorder="1" applyAlignment="1">
      <alignment horizontal="left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E6500"/>
      <color rgb="FF007F00"/>
      <color rgb="FFFC6C00"/>
      <color rgb="FF0000B3"/>
      <color rgb="FFFF6600"/>
      <color rgb="FF757F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1</xdr:row>
      <xdr:rowOff>114300</xdr:rowOff>
    </xdr:from>
    <xdr:to>
      <xdr:col>1</xdr:col>
      <xdr:colOff>762279</xdr:colOff>
      <xdr:row>5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1152804" cy="990600"/>
        </a:xfrm>
        <a:prstGeom prst="rect">
          <a:avLst/>
        </a:prstGeom>
      </xdr:spPr>
    </xdr:pic>
    <xdr:clientData/>
  </xdr:twoCellAnchor>
  <xdr:twoCellAnchor editAs="oneCell">
    <xdr:from>
      <xdr:col>7</xdr:col>
      <xdr:colOff>400051</xdr:colOff>
      <xdr:row>1</xdr:row>
      <xdr:rowOff>133350</xdr:rowOff>
    </xdr:from>
    <xdr:to>
      <xdr:col>9</xdr:col>
      <xdr:colOff>698761</xdr:colOff>
      <xdr:row>5</xdr:row>
      <xdr:rowOff>123825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53551" y="133350"/>
          <a:ext cx="1994160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499984740745262"/>
    <pageSetUpPr fitToPage="1"/>
  </sheetPr>
  <dimension ref="A1:J229"/>
  <sheetViews>
    <sheetView showGridLines="0" tabSelected="1" view="pageBreakPreview" topLeftCell="A2" zoomScaleNormal="100" zoomScaleSheetLayoutView="100" workbookViewId="0">
      <selection activeCell="M12" sqref="M12"/>
    </sheetView>
  </sheetViews>
  <sheetFormatPr defaultColWidth="9.140625" defaultRowHeight="15" x14ac:dyDescent="0.25"/>
  <cols>
    <col min="1" max="1" width="7.7109375" style="1" customWidth="1"/>
    <col min="2" max="2" width="12.140625" style="15" customWidth="1"/>
    <col min="3" max="3" width="68.7109375" style="1" customWidth="1"/>
    <col min="4" max="4" width="11.7109375" style="7" customWidth="1"/>
    <col min="5" max="5" width="8.5703125" style="7" customWidth="1"/>
    <col min="6" max="7" width="12.7109375" style="7" customWidth="1"/>
    <col min="8" max="9" width="12.7109375" style="1" customWidth="1"/>
    <col min="10" max="10" width="18" style="1" bestFit="1" customWidth="1"/>
    <col min="11" max="16384" width="9.140625" style="1"/>
  </cols>
  <sheetData>
    <row r="1" spans="1:10" ht="15" hidden="1" customHeight="1" x14ac:dyDescent="0.25">
      <c r="A1" s="3"/>
      <c r="B1" s="13"/>
      <c r="C1" s="4"/>
      <c r="D1" s="4"/>
      <c r="E1" s="4"/>
      <c r="F1" s="4"/>
      <c r="G1" s="4"/>
      <c r="H1" s="4"/>
      <c r="I1" s="4"/>
      <c r="J1" s="5"/>
    </row>
    <row r="2" spans="1:10" ht="18" customHeight="1" x14ac:dyDescent="0.25">
      <c r="A2" s="16"/>
      <c r="B2" s="17"/>
      <c r="C2" s="41"/>
      <c r="D2" s="18"/>
      <c r="E2" s="28"/>
      <c r="F2" s="28"/>
      <c r="G2" s="28"/>
      <c r="H2" s="42"/>
      <c r="I2" s="29"/>
      <c r="J2" s="19"/>
    </row>
    <row r="3" spans="1:10" ht="18" customHeight="1" x14ac:dyDescent="0.25">
      <c r="A3" s="45"/>
      <c r="B3" s="46"/>
      <c r="C3" s="47"/>
      <c r="D3" s="23"/>
      <c r="E3" s="25"/>
      <c r="F3" s="25"/>
      <c r="G3" s="25"/>
      <c r="H3" s="30"/>
      <c r="I3" s="31"/>
      <c r="J3" s="24"/>
    </row>
    <row r="4" spans="1:10" ht="18" customHeight="1" x14ac:dyDescent="0.25">
      <c r="A4" s="20"/>
      <c r="B4" s="21"/>
      <c r="C4" s="22"/>
      <c r="D4" s="23"/>
      <c r="E4" s="25"/>
      <c r="F4" s="25"/>
      <c r="G4" s="25"/>
      <c r="H4" s="30"/>
      <c r="I4" s="31"/>
      <c r="J4" s="24"/>
    </row>
    <row r="5" spans="1:10" ht="18" customHeight="1" x14ac:dyDescent="0.25">
      <c r="A5" s="43"/>
      <c r="B5" s="30"/>
      <c r="C5" s="48"/>
      <c r="D5" s="23"/>
      <c r="E5" s="25"/>
      <c r="F5" s="25"/>
      <c r="G5" s="25"/>
      <c r="H5" s="30"/>
      <c r="I5" s="31"/>
      <c r="J5" s="24"/>
    </row>
    <row r="6" spans="1:10" ht="18" customHeight="1" thickBot="1" x14ac:dyDescent="0.3">
      <c r="A6" s="44"/>
      <c r="D6" s="26"/>
      <c r="E6" s="25"/>
      <c r="F6" s="25"/>
      <c r="G6" s="25"/>
      <c r="H6" s="30"/>
      <c r="I6" s="49"/>
      <c r="J6" s="27"/>
    </row>
    <row r="7" spans="1:10" ht="29.25" customHeight="1" thickBot="1" x14ac:dyDescent="0.3">
      <c r="A7" s="59" t="s">
        <v>0</v>
      </c>
      <c r="B7" s="60" t="s">
        <v>1</v>
      </c>
      <c r="C7" s="60" t="s">
        <v>2</v>
      </c>
      <c r="D7" s="60" t="s">
        <v>3</v>
      </c>
      <c r="E7" s="60" t="s">
        <v>4</v>
      </c>
      <c r="F7" s="60" t="s">
        <v>23</v>
      </c>
      <c r="G7" s="60" t="s">
        <v>24</v>
      </c>
      <c r="H7" s="61" t="s">
        <v>25</v>
      </c>
      <c r="I7" s="61" t="s">
        <v>22</v>
      </c>
      <c r="J7" s="62" t="s">
        <v>17</v>
      </c>
    </row>
    <row r="8" spans="1:10" s="11" customFormat="1" ht="18" customHeight="1" x14ac:dyDescent="0.25">
      <c r="A8" s="54"/>
      <c r="B8" s="54"/>
      <c r="C8" s="55" t="s">
        <v>5</v>
      </c>
      <c r="D8" s="54"/>
      <c r="E8" s="54"/>
      <c r="F8" s="54"/>
      <c r="G8" s="54"/>
      <c r="H8" s="54"/>
      <c r="I8" s="54"/>
      <c r="J8" s="54"/>
    </row>
    <row r="9" spans="1:10" s="11" customFormat="1" ht="18" customHeight="1" x14ac:dyDescent="0.25">
      <c r="A9" s="10">
        <v>1</v>
      </c>
      <c r="B9" s="50"/>
      <c r="C9" s="9" t="s">
        <v>6</v>
      </c>
      <c r="D9" s="10">
        <v>1</v>
      </c>
      <c r="E9" s="10" t="s">
        <v>15</v>
      </c>
      <c r="F9" s="8">
        <v>0</v>
      </c>
      <c r="G9" s="8">
        <v>0</v>
      </c>
      <c r="H9" s="8">
        <f>F9+G9</f>
        <v>0</v>
      </c>
      <c r="I9" s="8">
        <f>IF(H9="","",D9*H9)</f>
        <v>0</v>
      </c>
      <c r="J9" s="53"/>
    </row>
    <row r="10" spans="1:10" s="11" customFormat="1" ht="18" customHeight="1" x14ac:dyDescent="0.25">
      <c r="A10" s="51">
        <f>IF(D10=0,"",1+MAX(A$9:A9))</f>
        <v>2</v>
      </c>
      <c r="B10" s="50"/>
      <c r="C10" s="9" t="s">
        <v>14</v>
      </c>
      <c r="D10" s="10">
        <v>1</v>
      </c>
      <c r="E10" s="10" t="s">
        <v>15</v>
      </c>
      <c r="F10" s="8">
        <v>0</v>
      </c>
      <c r="G10" s="8">
        <v>0</v>
      </c>
      <c r="H10" s="8">
        <f t="shared" ref="H10:H15" si="0">F10+G10</f>
        <v>0</v>
      </c>
      <c r="I10" s="8">
        <f t="shared" ref="I10:I15" si="1">IF(H10="","",D10*H10)</f>
        <v>0</v>
      </c>
      <c r="J10" s="53"/>
    </row>
    <row r="11" spans="1:10" s="11" customFormat="1" ht="18" customHeight="1" x14ac:dyDescent="0.25">
      <c r="A11" s="51">
        <f>IF(D11=0,"",1+MAX(A$9:A10))</f>
        <v>3</v>
      </c>
      <c r="B11" s="50"/>
      <c r="C11" s="9" t="s">
        <v>20</v>
      </c>
      <c r="D11" s="10">
        <v>1</v>
      </c>
      <c r="E11" s="10" t="s">
        <v>15</v>
      </c>
      <c r="F11" s="8">
        <v>0</v>
      </c>
      <c r="G11" s="8">
        <v>0</v>
      </c>
      <c r="H11" s="8">
        <f t="shared" si="0"/>
        <v>0</v>
      </c>
      <c r="I11" s="8">
        <f t="shared" si="1"/>
        <v>0</v>
      </c>
      <c r="J11" s="53"/>
    </row>
    <row r="12" spans="1:10" s="11" customFormat="1" ht="18" customHeight="1" x14ac:dyDescent="0.25">
      <c r="A12" s="51">
        <f>IF(D12=0,"",1+MAX(A$9:A11))</f>
        <v>4</v>
      </c>
      <c r="B12" s="50"/>
      <c r="C12" s="9" t="s">
        <v>7</v>
      </c>
      <c r="D12" s="10">
        <v>1</v>
      </c>
      <c r="E12" s="10" t="s">
        <v>15</v>
      </c>
      <c r="F12" s="8">
        <v>0</v>
      </c>
      <c r="G12" s="8">
        <v>0</v>
      </c>
      <c r="H12" s="8">
        <f t="shared" si="0"/>
        <v>0</v>
      </c>
      <c r="I12" s="8">
        <f t="shared" si="1"/>
        <v>0</v>
      </c>
      <c r="J12" s="53"/>
    </row>
    <row r="13" spans="1:10" s="11" customFormat="1" ht="18" customHeight="1" x14ac:dyDescent="0.25">
      <c r="A13" s="51">
        <f>IF(D13=0,"",1+MAX(A$9:A12))</f>
        <v>5</v>
      </c>
      <c r="B13" s="50"/>
      <c r="C13" s="9" t="s">
        <v>8</v>
      </c>
      <c r="D13" s="10">
        <v>1</v>
      </c>
      <c r="E13" s="10" t="s">
        <v>15</v>
      </c>
      <c r="F13" s="8">
        <v>0</v>
      </c>
      <c r="G13" s="8">
        <v>0</v>
      </c>
      <c r="H13" s="8">
        <f t="shared" si="0"/>
        <v>0</v>
      </c>
      <c r="I13" s="8">
        <f t="shared" si="1"/>
        <v>0</v>
      </c>
      <c r="J13" s="53"/>
    </row>
    <row r="14" spans="1:10" s="11" customFormat="1" ht="18" customHeight="1" x14ac:dyDescent="0.25">
      <c r="A14" s="51">
        <f>IF(D14=0,"",1+MAX(A$9:A13))</f>
        <v>6</v>
      </c>
      <c r="B14" s="50"/>
      <c r="C14" s="9" t="s">
        <v>9</v>
      </c>
      <c r="D14" s="10">
        <v>1</v>
      </c>
      <c r="E14" s="10" t="s">
        <v>15</v>
      </c>
      <c r="F14" s="8">
        <v>0</v>
      </c>
      <c r="G14" s="8">
        <v>0</v>
      </c>
      <c r="H14" s="8">
        <f t="shared" si="0"/>
        <v>0</v>
      </c>
      <c r="I14" s="8">
        <f t="shared" si="1"/>
        <v>0</v>
      </c>
      <c r="J14" s="53"/>
    </row>
    <row r="15" spans="1:10" s="11" customFormat="1" ht="18" customHeight="1" x14ac:dyDescent="0.25">
      <c r="A15" s="51">
        <f>IF(D15=0,"",1+MAX(A$9:A14))</f>
        <v>7</v>
      </c>
      <c r="B15" s="50"/>
      <c r="C15" s="9" t="s">
        <v>21</v>
      </c>
      <c r="D15" s="10">
        <v>1</v>
      </c>
      <c r="E15" s="10" t="s">
        <v>15</v>
      </c>
      <c r="F15" s="8">
        <v>0</v>
      </c>
      <c r="G15" s="8">
        <v>0</v>
      </c>
      <c r="H15" s="8">
        <f t="shared" si="0"/>
        <v>0</v>
      </c>
      <c r="I15" s="8">
        <f t="shared" si="1"/>
        <v>0</v>
      </c>
      <c r="J15" s="53"/>
    </row>
    <row r="16" spans="1:10" s="11" customFormat="1" ht="18" customHeight="1" x14ac:dyDescent="0.25">
      <c r="A16" s="51" t="str">
        <f>IF(D16=0,"",1+MAX(A6:A15))</f>
        <v/>
      </c>
      <c r="B16" s="12"/>
      <c r="C16" s="56" t="s">
        <v>18</v>
      </c>
      <c r="D16" s="6"/>
      <c r="E16" s="6"/>
      <c r="F16" s="6"/>
      <c r="G16" s="6"/>
      <c r="H16" s="2"/>
      <c r="I16" s="8"/>
      <c r="J16" s="63">
        <f>(SUM(I9:I16))</f>
        <v>0</v>
      </c>
    </row>
    <row r="17" spans="1:10" s="11" customFormat="1" ht="18" customHeight="1" x14ac:dyDescent="0.25">
      <c r="A17" s="86"/>
      <c r="B17" s="87"/>
      <c r="C17" s="87"/>
      <c r="D17" s="87"/>
      <c r="E17" s="87"/>
      <c r="F17" s="87"/>
      <c r="G17" s="87"/>
      <c r="H17" s="87"/>
      <c r="I17" s="87"/>
      <c r="J17" s="88"/>
    </row>
    <row r="18" spans="1:10" s="11" customFormat="1" ht="18" customHeight="1" x14ac:dyDescent="0.25">
      <c r="A18" s="57"/>
      <c r="B18" s="57"/>
      <c r="C18" s="58" t="s">
        <v>113</v>
      </c>
      <c r="D18" s="57"/>
      <c r="E18" s="57"/>
      <c r="F18" s="57"/>
      <c r="G18" s="57"/>
      <c r="H18" s="57"/>
      <c r="I18" s="57"/>
      <c r="J18" s="57"/>
    </row>
    <row r="19" spans="1:10" s="11" customFormat="1" ht="15.75" x14ac:dyDescent="0.25">
      <c r="A19" s="51" t="str">
        <f>IF(D19=0,"",1+MAX(A$8:A18))</f>
        <v/>
      </c>
      <c r="B19" s="12"/>
      <c r="C19" s="79" t="s">
        <v>83</v>
      </c>
      <c r="D19" s="52"/>
      <c r="E19" s="10"/>
      <c r="F19" s="8"/>
      <c r="G19" s="8"/>
      <c r="H19" s="8"/>
      <c r="I19" s="8"/>
      <c r="J19" s="53"/>
    </row>
    <row r="20" spans="1:10" s="11" customFormat="1" ht="15.75" x14ac:dyDescent="0.25">
      <c r="A20" s="51">
        <f>IF(D20=0,"",1+MAX(A$9:A19))</f>
        <v>8</v>
      </c>
      <c r="B20" s="12"/>
      <c r="C20" s="78" t="s">
        <v>116</v>
      </c>
      <c r="D20" s="52">
        <v>4</v>
      </c>
      <c r="E20" s="10" t="s">
        <v>26</v>
      </c>
      <c r="F20" s="8">
        <v>300</v>
      </c>
      <c r="G20" s="8">
        <v>150</v>
      </c>
      <c r="H20" s="8">
        <f>F20+G20</f>
        <v>450</v>
      </c>
      <c r="I20" s="8">
        <f>D20*H20</f>
        <v>1800</v>
      </c>
      <c r="J20" s="53"/>
    </row>
    <row r="21" spans="1:10" s="11" customFormat="1" ht="15.75" x14ac:dyDescent="0.25">
      <c r="A21" s="51">
        <f>IF(D21=0,"",1+MAX(A$9:A20))</f>
        <v>9</v>
      </c>
      <c r="B21" s="12"/>
      <c r="C21" s="78" t="s">
        <v>88</v>
      </c>
      <c r="D21" s="52">
        <v>5</v>
      </c>
      <c r="E21" s="10" t="s">
        <v>26</v>
      </c>
      <c r="F21" s="8">
        <v>300</v>
      </c>
      <c r="G21" s="8">
        <v>150</v>
      </c>
      <c r="H21" s="8">
        <f t="shared" ref="H21:H84" si="2">F21+G21</f>
        <v>450</v>
      </c>
      <c r="I21" s="8">
        <f t="shared" ref="I21:I84" si="3">D21*H21</f>
        <v>2250</v>
      </c>
      <c r="J21" s="53"/>
    </row>
    <row r="22" spans="1:10" s="11" customFormat="1" ht="15.75" x14ac:dyDescent="0.25">
      <c r="A22" s="51">
        <f>IF(D22=0,"",1+MAX(A$9:A21))</f>
        <v>10</v>
      </c>
      <c r="B22" s="12"/>
      <c r="C22" s="78" t="s">
        <v>89</v>
      </c>
      <c r="D22" s="52">
        <v>2</v>
      </c>
      <c r="E22" s="10" t="s">
        <v>26</v>
      </c>
      <c r="F22" s="8">
        <v>300</v>
      </c>
      <c r="G22" s="8">
        <v>150</v>
      </c>
      <c r="H22" s="8">
        <f t="shared" si="2"/>
        <v>450</v>
      </c>
      <c r="I22" s="8">
        <f t="shared" si="3"/>
        <v>900</v>
      </c>
      <c r="J22" s="53"/>
    </row>
    <row r="23" spans="1:10" s="11" customFormat="1" ht="15.75" x14ac:dyDescent="0.25">
      <c r="A23" s="51">
        <f>IF(D23=0,"",1+MAX(A$9:A22))</f>
        <v>11</v>
      </c>
      <c r="B23" s="12"/>
      <c r="C23" s="78" t="s">
        <v>80</v>
      </c>
      <c r="D23" s="52">
        <v>1</v>
      </c>
      <c r="E23" s="10" t="s">
        <v>26</v>
      </c>
      <c r="F23" s="8">
        <v>4500</v>
      </c>
      <c r="G23" s="8">
        <v>500</v>
      </c>
      <c r="H23" s="8">
        <f t="shared" si="2"/>
        <v>5000</v>
      </c>
      <c r="I23" s="8">
        <f t="shared" si="3"/>
        <v>5000</v>
      </c>
      <c r="J23" s="53"/>
    </row>
    <row r="24" spans="1:10" s="11" customFormat="1" ht="15.75" x14ac:dyDescent="0.25">
      <c r="A24" s="51">
        <f>IF(D24=0,"",1+MAX(A$9:A23))</f>
        <v>12</v>
      </c>
      <c r="B24" s="12"/>
      <c r="C24" s="78" t="s">
        <v>90</v>
      </c>
      <c r="D24" s="52">
        <v>2</v>
      </c>
      <c r="E24" s="10" t="s">
        <v>26</v>
      </c>
      <c r="F24" s="8">
        <v>200</v>
      </c>
      <c r="G24" s="8">
        <v>100</v>
      </c>
      <c r="H24" s="8">
        <f t="shared" si="2"/>
        <v>300</v>
      </c>
      <c r="I24" s="8">
        <f t="shared" si="3"/>
        <v>600</v>
      </c>
      <c r="J24" s="53"/>
    </row>
    <row r="25" spans="1:10" s="11" customFormat="1" ht="15.75" x14ac:dyDescent="0.25">
      <c r="A25" s="51">
        <f>IF(D25=0,"",1+MAX(A$9:A24))</f>
        <v>13</v>
      </c>
      <c r="B25" s="12"/>
      <c r="C25" s="78" t="s">
        <v>81</v>
      </c>
      <c r="D25" s="52">
        <v>1</v>
      </c>
      <c r="E25" s="10" t="s">
        <v>26</v>
      </c>
      <c r="F25" s="8">
        <v>1400</v>
      </c>
      <c r="G25" s="8">
        <v>700</v>
      </c>
      <c r="H25" s="8">
        <f t="shared" si="2"/>
        <v>2100</v>
      </c>
      <c r="I25" s="8">
        <f t="shared" si="3"/>
        <v>2100</v>
      </c>
      <c r="J25" s="53"/>
    </row>
    <row r="26" spans="1:10" s="11" customFormat="1" ht="15.75" x14ac:dyDescent="0.25">
      <c r="A26" s="51">
        <f>IF(D26=0,"",1+MAX(A$9:A25))</f>
        <v>14</v>
      </c>
      <c r="B26" s="12"/>
      <c r="C26" s="78" t="s">
        <v>63</v>
      </c>
      <c r="D26" s="52">
        <v>1</v>
      </c>
      <c r="E26" s="10" t="s">
        <v>26</v>
      </c>
      <c r="F26" s="8">
        <v>150</v>
      </c>
      <c r="G26" s="8">
        <v>100</v>
      </c>
      <c r="H26" s="8">
        <f t="shared" si="2"/>
        <v>250</v>
      </c>
      <c r="I26" s="8">
        <f t="shared" si="3"/>
        <v>250</v>
      </c>
      <c r="J26" s="53"/>
    </row>
    <row r="27" spans="1:10" s="11" customFormat="1" ht="15.75" x14ac:dyDescent="0.25">
      <c r="A27" s="51">
        <f>IF(D27=0,"",1+MAX(A$9:A26))</f>
        <v>15</v>
      </c>
      <c r="B27" s="12"/>
      <c r="C27" s="78" t="s">
        <v>82</v>
      </c>
      <c r="D27" s="52">
        <v>1</v>
      </c>
      <c r="E27" s="10" t="s">
        <v>26</v>
      </c>
      <c r="F27" s="8">
        <v>1500</v>
      </c>
      <c r="G27" s="8">
        <v>700</v>
      </c>
      <c r="H27" s="8">
        <f t="shared" si="2"/>
        <v>2200</v>
      </c>
      <c r="I27" s="8">
        <f t="shared" si="3"/>
        <v>2200</v>
      </c>
      <c r="J27" s="53"/>
    </row>
    <row r="28" spans="1:10" s="11" customFormat="1" ht="15.75" x14ac:dyDescent="0.25">
      <c r="A28" s="51" t="str">
        <f>IF(D28=0,"",1+MAX(A$9:A27))</f>
        <v/>
      </c>
      <c r="B28" s="12"/>
      <c r="C28" s="79" t="s">
        <v>54</v>
      </c>
      <c r="D28" s="52"/>
      <c r="E28" s="10"/>
      <c r="F28" s="8"/>
      <c r="G28" s="8"/>
      <c r="H28" s="8"/>
      <c r="I28" s="8"/>
      <c r="J28" s="53"/>
    </row>
    <row r="29" spans="1:10" s="11" customFormat="1" ht="15.75" x14ac:dyDescent="0.25">
      <c r="A29" s="51">
        <f>IF(D29=0,"",1+MAX(A$9:A28))</f>
        <v>16</v>
      </c>
      <c r="B29" s="12"/>
      <c r="C29" s="78" t="s">
        <v>27</v>
      </c>
      <c r="D29" s="10">
        <v>26</v>
      </c>
      <c r="E29" s="8" t="s">
        <v>26</v>
      </c>
      <c r="F29" s="8">
        <v>150</v>
      </c>
      <c r="G29" s="8">
        <v>100</v>
      </c>
      <c r="H29" s="8">
        <f t="shared" si="2"/>
        <v>250</v>
      </c>
      <c r="I29" s="8">
        <f t="shared" si="3"/>
        <v>6500</v>
      </c>
      <c r="J29" s="53"/>
    </row>
    <row r="30" spans="1:10" s="11" customFormat="1" ht="15.75" x14ac:dyDescent="0.25">
      <c r="A30" s="51">
        <f>IF(D30=0,"",1+MAX(A$9:A29))</f>
        <v>17</v>
      </c>
      <c r="B30" s="12"/>
      <c r="C30" s="78" t="s">
        <v>28</v>
      </c>
      <c r="D30" s="10">
        <v>64</v>
      </c>
      <c r="E30" s="8" t="s">
        <v>26</v>
      </c>
      <c r="F30" s="8">
        <v>140</v>
      </c>
      <c r="G30" s="8">
        <v>90</v>
      </c>
      <c r="H30" s="8">
        <f t="shared" si="2"/>
        <v>230</v>
      </c>
      <c r="I30" s="8">
        <f t="shared" si="3"/>
        <v>14720</v>
      </c>
      <c r="J30" s="53"/>
    </row>
    <row r="31" spans="1:10" s="11" customFormat="1" ht="15.75" x14ac:dyDescent="0.25">
      <c r="A31" s="51">
        <f>IF(D31=0,"",1+MAX(A$9:A30))</f>
        <v>18</v>
      </c>
      <c r="B31" s="12"/>
      <c r="C31" s="78" t="s">
        <v>29</v>
      </c>
      <c r="D31" s="10">
        <v>60</v>
      </c>
      <c r="E31" s="8" t="s">
        <v>26</v>
      </c>
      <c r="F31" s="8">
        <v>140</v>
      </c>
      <c r="G31" s="8">
        <v>90</v>
      </c>
      <c r="H31" s="8">
        <f t="shared" si="2"/>
        <v>230</v>
      </c>
      <c r="I31" s="8">
        <f t="shared" si="3"/>
        <v>13800</v>
      </c>
      <c r="J31" s="53"/>
    </row>
    <row r="32" spans="1:10" s="11" customFormat="1" ht="15.75" x14ac:dyDescent="0.25">
      <c r="A32" s="51">
        <f>IF(D32=0,"",1+MAX(A$9:A31))</f>
        <v>19</v>
      </c>
      <c r="B32" s="12"/>
      <c r="C32" s="78" t="s">
        <v>30</v>
      </c>
      <c r="D32" s="10">
        <v>1</v>
      </c>
      <c r="E32" s="8" t="s">
        <v>26</v>
      </c>
      <c r="F32" s="8">
        <v>1600</v>
      </c>
      <c r="G32" s="8">
        <v>800</v>
      </c>
      <c r="H32" s="8">
        <f t="shared" si="2"/>
        <v>2400</v>
      </c>
      <c r="I32" s="8">
        <f t="shared" si="3"/>
        <v>2400</v>
      </c>
      <c r="J32" s="53"/>
    </row>
    <row r="33" spans="1:10" s="11" customFormat="1" ht="15.75" x14ac:dyDescent="0.25">
      <c r="A33" s="51">
        <f>IF(D33=0,"",1+MAX(A$9:A32))</f>
        <v>20</v>
      </c>
      <c r="B33" s="12"/>
      <c r="C33" s="78" t="s">
        <v>31</v>
      </c>
      <c r="D33" s="10">
        <v>20</v>
      </c>
      <c r="E33" s="8" t="s">
        <v>26</v>
      </c>
      <c r="F33" s="8">
        <v>200</v>
      </c>
      <c r="G33" s="8">
        <v>100</v>
      </c>
      <c r="H33" s="8">
        <f t="shared" si="2"/>
        <v>300</v>
      </c>
      <c r="I33" s="8">
        <f t="shared" si="3"/>
        <v>6000</v>
      </c>
      <c r="J33" s="53"/>
    </row>
    <row r="34" spans="1:10" s="11" customFormat="1" ht="15.75" x14ac:dyDescent="0.25">
      <c r="A34" s="51">
        <f>IF(D34=0,"",1+MAX(A$9:A33))</f>
        <v>21</v>
      </c>
      <c r="B34" s="12"/>
      <c r="C34" s="78" t="s">
        <v>59</v>
      </c>
      <c r="D34" s="10">
        <v>27</v>
      </c>
      <c r="E34" s="8" t="s">
        <v>26</v>
      </c>
      <c r="F34" s="8">
        <v>200</v>
      </c>
      <c r="G34" s="8">
        <v>100</v>
      </c>
      <c r="H34" s="8">
        <f t="shared" si="2"/>
        <v>300</v>
      </c>
      <c r="I34" s="8">
        <f t="shared" si="3"/>
        <v>8100</v>
      </c>
      <c r="J34" s="53"/>
    </row>
    <row r="35" spans="1:10" s="11" customFormat="1" ht="15.75" x14ac:dyDescent="0.25">
      <c r="A35" s="51">
        <f>IF(D35=0,"",1+MAX(A$9:A34))</f>
        <v>22</v>
      </c>
      <c r="B35" s="12"/>
      <c r="C35" s="78" t="s">
        <v>32</v>
      </c>
      <c r="D35" s="10">
        <v>14</v>
      </c>
      <c r="E35" s="8" t="s">
        <v>26</v>
      </c>
      <c r="F35" s="8">
        <v>70</v>
      </c>
      <c r="G35" s="8">
        <v>50</v>
      </c>
      <c r="H35" s="8">
        <f t="shared" si="2"/>
        <v>120</v>
      </c>
      <c r="I35" s="8">
        <f t="shared" si="3"/>
        <v>1680</v>
      </c>
      <c r="J35" s="53"/>
    </row>
    <row r="36" spans="1:10" s="11" customFormat="1" ht="15.75" x14ac:dyDescent="0.25">
      <c r="A36" s="51">
        <f>IF(D36=0,"",1+MAX(A$9:A35))</f>
        <v>23</v>
      </c>
      <c r="B36" s="12"/>
      <c r="C36" s="78" t="s">
        <v>33</v>
      </c>
      <c r="D36" s="10">
        <v>1</v>
      </c>
      <c r="E36" s="8" t="s">
        <v>26</v>
      </c>
      <c r="F36" s="8">
        <v>140</v>
      </c>
      <c r="G36" s="8">
        <v>90</v>
      </c>
      <c r="H36" s="8">
        <f t="shared" si="2"/>
        <v>230</v>
      </c>
      <c r="I36" s="8">
        <f t="shared" si="3"/>
        <v>230</v>
      </c>
      <c r="J36" s="53"/>
    </row>
    <row r="37" spans="1:10" s="11" customFormat="1" ht="15.75" x14ac:dyDescent="0.25">
      <c r="A37" s="51">
        <f>IF(D37=0,"",1+MAX(A$9:A36))</f>
        <v>24</v>
      </c>
      <c r="B37" s="12"/>
      <c r="C37" s="78" t="s">
        <v>34</v>
      </c>
      <c r="D37" s="10">
        <v>2</v>
      </c>
      <c r="E37" s="8" t="s">
        <v>26</v>
      </c>
      <c r="F37" s="8">
        <v>140</v>
      </c>
      <c r="G37" s="8">
        <v>90</v>
      </c>
      <c r="H37" s="8">
        <f t="shared" si="2"/>
        <v>230</v>
      </c>
      <c r="I37" s="8">
        <f t="shared" si="3"/>
        <v>460</v>
      </c>
      <c r="J37" s="53"/>
    </row>
    <row r="38" spans="1:10" s="11" customFormat="1" ht="15.75" x14ac:dyDescent="0.25">
      <c r="A38" s="51">
        <f>IF(D38=0,"",1+MAX(A$9:A37))</f>
        <v>25</v>
      </c>
      <c r="B38" s="12"/>
      <c r="C38" s="78" t="s">
        <v>35</v>
      </c>
      <c r="D38" s="10">
        <v>9</v>
      </c>
      <c r="E38" s="8" t="s">
        <v>26</v>
      </c>
      <c r="F38" s="8">
        <v>140</v>
      </c>
      <c r="G38" s="8">
        <v>90</v>
      </c>
      <c r="H38" s="8">
        <f t="shared" si="2"/>
        <v>230</v>
      </c>
      <c r="I38" s="8">
        <f t="shared" si="3"/>
        <v>2070</v>
      </c>
      <c r="J38" s="53"/>
    </row>
    <row r="39" spans="1:10" s="11" customFormat="1" ht="15.75" x14ac:dyDescent="0.25">
      <c r="A39" s="51">
        <f>IF(D39=0,"",1+MAX(A$9:A38))</f>
        <v>26</v>
      </c>
      <c r="B39" s="12"/>
      <c r="C39" s="78" t="s">
        <v>36</v>
      </c>
      <c r="D39" s="10">
        <v>13</v>
      </c>
      <c r="E39" s="8" t="s">
        <v>26</v>
      </c>
      <c r="F39" s="8">
        <v>140</v>
      </c>
      <c r="G39" s="8">
        <v>90</v>
      </c>
      <c r="H39" s="8">
        <f t="shared" si="2"/>
        <v>230</v>
      </c>
      <c r="I39" s="8">
        <f t="shared" si="3"/>
        <v>2990</v>
      </c>
      <c r="J39" s="53"/>
    </row>
    <row r="40" spans="1:10" s="11" customFormat="1" ht="15.75" x14ac:dyDescent="0.25">
      <c r="A40" s="51">
        <f>IF(D40=0,"",1+MAX(A$9:A39))</f>
        <v>27</v>
      </c>
      <c r="B40" s="12"/>
      <c r="C40" s="78" t="s">
        <v>37</v>
      </c>
      <c r="D40" s="10">
        <v>1</v>
      </c>
      <c r="E40" s="8" t="s">
        <v>26</v>
      </c>
      <c r="F40" s="8">
        <v>1400</v>
      </c>
      <c r="G40" s="8">
        <v>700</v>
      </c>
      <c r="H40" s="8">
        <f t="shared" si="2"/>
        <v>2100</v>
      </c>
      <c r="I40" s="8">
        <f t="shared" si="3"/>
        <v>2100</v>
      </c>
      <c r="J40" s="53"/>
    </row>
    <row r="41" spans="1:10" s="11" customFormat="1" ht="15.75" x14ac:dyDescent="0.25">
      <c r="A41" s="51">
        <f>IF(D41=0,"",1+MAX(A$9:A40))</f>
        <v>28</v>
      </c>
      <c r="B41" s="12"/>
      <c r="C41" s="78" t="s">
        <v>38</v>
      </c>
      <c r="D41" s="10">
        <v>1</v>
      </c>
      <c r="E41" s="8" t="s">
        <v>26</v>
      </c>
      <c r="F41" s="8">
        <v>1500</v>
      </c>
      <c r="G41" s="8">
        <v>700</v>
      </c>
      <c r="H41" s="8">
        <f t="shared" si="2"/>
        <v>2200</v>
      </c>
      <c r="I41" s="8">
        <f t="shared" si="3"/>
        <v>2200</v>
      </c>
      <c r="J41" s="53"/>
    </row>
    <row r="42" spans="1:10" s="11" customFormat="1" ht="15.75" x14ac:dyDescent="0.25">
      <c r="A42" s="51">
        <f>IF(D42=0,"",1+MAX(A$9:A41))</f>
        <v>29</v>
      </c>
      <c r="B42" s="12"/>
      <c r="C42" s="78" t="s">
        <v>39</v>
      </c>
      <c r="D42" s="10">
        <v>1</v>
      </c>
      <c r="E42" s="8" t="s">
        <v>26</v>
      </c>
      <c r="F42" s="8">
        <v>1600</v>
      </c>
      <c r="G42" s="8">
        <v>800</v>
      </c>
      <c r="H42" s="8">
        <f t="shared" si="2"/>
        <v>2400</v>
      </c>
      <c r="I42" s="8">
        <f t="shared" si="3"/>
        <v>2400</v>
      </c>
      <c r="J42" s="53"/>
    </row>
    <row r="43" spans="1:10" s="11" customFormat="1" ht="15.75" x14ac:dyDescent="0.25">
      <c r="A43" s="51">
        <f>IF(D43=0,"",1+MAX(A$9:A42))</f>
        <v>30</v>
      </c>
      <c r="B43" s="12"/>
      <c r="C43" s="78" t="s">
        <v>40</v>
      </c>
      <c r="D43" s="10">
        <v>1</v>
      </c>
      <c r="E43" s="8" t="s">
        <v>26</v>
      </c>
      <c r="F43" s="8">
        <v>150</v>
      </c>
      <c r="G43" s="8">
        <v>100</v>
      </c>
      <c r="H43" s="8">
        <f t="shared" si="2"/>
        <v>250</v>
      </c>
      <c r="I43" s="8">
        <f t="shared" si="3"/>
        <v>250</v>
      </c>
      <c r="J43" s="53"/>
    </row>
    <row r="44" spans="1:10" s="11" customFormat="1" ht="15.75" x14ac:dyDescent="0.25">
      <c r="A44" s="51">
        <f>IF(D44=0,"",1+MAX(A$9:A43))</f>
        <v>31</v>
      </c>
      <c r="B44" s="12"/>
      <c r="C44" s="78" t="s">
        <v>41</v>
      </c>
      <c r="D44" s="10">
        <v>1</v>
      </c>
      <c r="E44" s="8" t="s">
        <v>26</v>
      </c>
      <c r="F44" s="8">
        <v>1600</v>
      </c>
      <c r="G44" s="8">
        <v>800</v>
      </c>
      <c r="H44" s="8">
        <f t="shared" si="2"/>
        <v>2400</v>
      </c>
      <c r="I44" s="8">
        <f t="shared" si="3"/>
        <v>2400</v>
      </c>
      <c r="J44" s="53"/>
    </row>
    <row r="45" spans="1:10" s="11" customFormat="1" ht="15.75" x14ac:dyDescent="0.25">
      <c r="A45" s="51">
        <f>IF(D45=0,"",1+MAX(A$9:A44))</f>
        <v>32</v>
      </c>
      <c r="B45" s="12"/>
      <c r="C45" s="9" t="s">
        <v>42</v>
      </c>
      <c r="D45" s="10">
        <v>5</v>
      </c>
      <c r="E45" s="8" t="s">
        <v>26</v>
      </c>
      <c r="F45" s="8">
        <v>150</v>
      </c>
      <c r="G45" s="8">
        <v>100</v>
      </c>
      <c r="H45" s="8">
        <f t="shared" si="2"/>
        <v>250</v>
      </c>
      <c r="I45" s="8">
        <f t="shared" si="3"/>
        <v>1250</v>
      </c>
      <c r="J45" s="53"/>
    </row>
    <row r="46" spans="1:10" s="11" customFormat="1" ht="15.75" x14ac:dyDescent="0.25">
      <c r="A46" s="51">
        <f>IF(D46=0,"",1+MAX(A$9:A45))</f>
        <v>33</v>
      </c>
      <c r="B46" s="12"/>
      <c r="C46" s="78" t="s">
        <v>43</v>
      </c>
      <c r="D46" s="10">
        <v>22</v>
      </c>
      <c r="E46" s="8" t="s">
        <v>26</v>
      </c>
      <c r="F46" s="8">
        <v>140</v>
      </c>
      <c r="G46" s="8">
        <v>90</v>
      </c>
      <c r="H46" s="8">
        <f t="shared" si="2"/>
        <v>230</v>
      </c>
      <c r="I46" s="8">
        <f t="shared" si="3"/>
        <v>5060</v>
      </c>
      <c r="J46" s="53"/>
    </row>
    <row r="47" spans="1:10" s="11" customFormat="1" ht="15.75" x14ac:dyDescent="0.25">
      <c r="A47" s="51">
        <f>IF(D47=0,"",1+MAX(A$9:A46))</f>
        <v>34</v>
      </c>
      <c r="B47" s="12"/>
      <c r="C47" s="9" t="s">
        <v>44</v>
      </c>
      <c r="D47" s="10">
        <v>9</v>
      </c>
      <c r="E47" s="8" t="s">
        <v>26</v>
      </c>
      <c r="F47" s="8">
        <v>150</v>
      </c>
      <c r="G47" s="8">
        <v>100</v>
      </c>
      <c r="H47" s="8">
        <f t="shared" si="2"/>
        <v>250</v>
      </c>
      <c r="I47" s="8">
        <f t="shared" si="3"/>
        <v>2250</v>
      </c>
      <c r="J47" s="53"/>
    </row>
    <row r="48" spans="1:10" s="11" customFormat="1" ht="15.75" x14ac:dyDescent="0.25">
      <c r="A48" s="51">
        <f>IF(D48=0,"",1+MAX(A$9:A47))</f>
        <v>35</v>
      </c>
      <c r="B48" s="12"/>
      <c r="C48" s="9" t="s">
        <v>45</v>
      </c>
      <c r="D48" s="10">
        <v>11</v>
      </c>
      <c r="E48" s="8" t="s">
        <v>26</v>
      </c>
      <c r="F48" s="8">
        <v>210</v>
      </c>
      <c r="G48" s="8">
        <v>110</v>
      </c>
      <c r="H48" s="8">
        <f t="shared" si="2"/>
        <v>320</v>
      </c>
      <c r="I48" s="8">
        <f t="shared" si="3"/>
        <v>3520</v>
      </c>
      <c r="J48" s="53"/>
    </row>
    <row r="49" spans="1:10" s="11" customFormat="1" ht="15.75" x14ac:dyDescent="0.25">
      <c r="A49" s="51">
        <f>IF(D49=0,"",1+MAX(A$9:A48))</f>
        <v>36</v>
      </c>
      <c r="B49" s="12"/>
      <c r="C49" s="9" t="s">
        <v>46</v>
      </c>
      <c r="D49" s="10">
        <v>25</v>
      </c>
      <c r="E49" s="8" t="s">
        <v>26</v>
      </c>
      <c r="F49" s="8">
        <v>200</v>
      </c>
      <c r="G49" s="8">
        <v>100</v>
      </c>
      <c r="H49" s="8">
        <f t="shared" si="2"/>
        <v>300</v>
      </c>
      <c r="I49" s="8">
        <f t="shared" si="3"/>
        <v>7500</v>
      </c>
      <c r="J49" s="53"/>
    </row>
    <row r="50" spans="1:10" s="11" customFormat="1" ht="15.75" x14ac:dyDescent="0.25">
      <c r="A50" s="51">
        <f>IF(D50=0,"",1+MAX(A$9:A49))</f>
        <v>37</v>
      </c>
      <c r="B50" s="12"/>
      <c r="C50" s="9" t="s">
        <v>47</v>
      </c>
      <c r="D50" s="10">
        <v>1</v>
      </c>
      <c r="E50" s="8" t="s">
        <v>26</v>
      </c>
      <c r="F50" s="8">
        <v>70</v>
      </c>
      <c r="G50" s="8">
        <v>50</v>
      </c>
      <c r="H50" s="8">
        <f t="shared" si="2"/>
        <v>120</v>
      </c>
      <c r="I50" s="8">
        <f t="shared" si="3"/>
        <v>120</v>
      </c>
      <c r="J50" s="53"/>
    </row>
    <row r="51" spans="1:10" s="11" customFormat="1" ht="15.75" x14ac:dyDescent="0.25">
      <c r="A51" s="51">
        <f>IF(D51=0,"",1+MAX(A$9:A50))</f>
        <v>38</v>
      </c>
      <c r="B51" s="12"/>
      <c r="C51" s="9" t="s">
        <v>48</v>
      </c>
      <c r="D51" s="10">
        <v>3</v>
      </c>
      <c r="E51" s="8" t="s">
        <v>26</v>
      </c>
      <c r="F51" s="8">
        <v>200</v>
      </c>
      <c r="G51" s="8">
        <v>100</v>
      </c>
      <c r="H51" s="8">
        <f t="shared" si="2"/>
        <v>300</v>
      </c>
      <c r="I51" s="8">
        <f t="shared" si="3"/>
        <v>900</v>
      </c>
      <c r="J51" s="53"/>
    </row>
    <row r="52" spans="1:10" s="11" customFormat="1" ht="15.75" x14ac:dyDescent="0.25">
      <c r="A52" s="51">
        <f>IF(D52=0,"",1+MAX(A$9:A51))</f>
        <v>39</v>
      </c>
      <c r="B52" s="12"/>
      <c r="C52" s="9" t="s">
        <v>49</v>
      </c>
      <c r="D52" s="10">
        <v>1</v>
      </c>
      <c r="E52" s="8" t="s">
        <v>26</v>
      </c>
      <c r="F52" s="8">
        <v>450</v>
      </c>
      <c r="G52" s="8">
        <v>200</v>
      </c>
      <c r="H52" s="8">
        <f t="shared" si="2"/>
        <v>650</v>
      </c>
      <c r="I52" s="8">
        <f t="shared" si="3"/>
        <v>650</v>
      </c>
      <c r="J52" s="53"/>
    </row>
    <row r="53" spans="1:10" s="11" customFormat="1" ht="15.75" x14ac:dyDescent="0.25">
      <c r="A53" s="51">
        <f>IF(D53=0,"",1+MAX(A$9:A52))</f>
        <v>40</v>
      </c>
      <c r="B53" s="12"/>
      <c r="C53" s="9" t="s">
        <v>115</v>
      </c>
      <c r="D53" s="10">
        <v>1</v>
      </c>
      <c r="E53" s="8" t="s">
        <v>26</v>
      </c>
      <c r="F53" s="8">
        <v>1600</v>
      </c>
      <c r="G53" s="8">
        <v>800</v>
      </c>
      <c r="H53" s="8">
        <f t="shared" si="2"/>
        <v>2400</v>
      </c>
      <c r="I53" s="8">
        <f t="shared" si="3"/>
        <v>2400</v>
      </c>
      <c r="J53" s="53"/>
    </row>
    <row r="54" spans="1:10" s="11" customFormat="1" ht="15.75" x14ac:dyDescent="0.25">
      <c r="A54" s="51">
        <f>IF(D54=0,"",1+MAX(A$9:A53))</f>
        <v>41</v>
      </c>
      <c r="B54" s="12"/>
      <c r="C54" s="9" t="s">
        <v>50</v>
      </c>
      <c r="D54" s="10">
        <v>1</v>
      </c>
      <c r="E54" s="8" t="s">
        <v>26</v>
      </c>
      <c r="F54" s="8">
        <v>70</v>
      </c>
      <c r="G54" s="8">
        <v>50</v>
      </c>
      <c r="H54" s="8">
        <f t="shared" si="2"/>
        <v>120</v>
      </c>
      <c r="I54" s="8">
        <f t="shared" si="3"/>
        <v>120</v>
      </c>
      <c r="J54" s="53"/>
    </row>
    <row r="55" spans="1:10" s="11" customFormat="1" ht="15.75" x14ac:dyDescent="0.25">
      <c r="A55" s="51">
        <f>IF(D55=0,"",1+MAX(A$9:A54))</f>
        <v>42</v>
      </c>
      <c r="B55" s="12"/>
      <c r="C55" s="9" t="s">
        <v>51</v>
      </c>
      <c r="D55" s="10">
        <v>1</v>
      </c>
      <c r="E55" s="8" t="s">
        <v>26</v>
      </c>
      <c r="F55" s="8">
        <v>210</v>
      </c>
      <c r="G55" s="8">
        <v>110</v>
      </c>
      <c r="H55" s="8">
        <f t="shared" si="2"/>
        <v>320</v>
      </c>
      <c r="I55" s="8">
        <f t="shared" si="3"/>
        <v>320</v>
      </c>
      <c r="J55" s="53"/>
    </row>
    <row r="56" spans="1:10" s="11" customFormat="1" ht="15.75" x14ac:dyDescent="0.25">
      <c r="A56" s="51">
        <f>IF(D56=0,"",1+MAX(A$9:A55))</f>
        <v>43</v>
      </c>
      <c r="B56" s="12"/>
      <c r="C56" s="9" t="s">
        <v>52</v>
      </c>
      <c r="D56" s="10">
        <v>10</v>
      </c>
      <c r="E56" s="8" t="s">
        <v>26</v>
      </c>
      <c r="F56" s="8">
        <v>1600</v>
      </c>
      <c r="G56" s="8">
        <v>800</v>
      </c>
      <c r="H56" s="8">
        <f t="shared" si="2"/>
        <v>2400</v>
      </c>
      <c r="I56" s="8">
        <f t="shared" si="3"/>
        <v>24000</v>
      </c>
      <c r="J56" s="53"/>
    </row>
    <row r="57" spans="1:10" s="11" customFormat="1" ht="15.75" x14ac:dyDescent="0.25">
      <c r="A57" s="51">
        <f>IF(D57=0,"",1+MAX(A$9:A56))</f>
        <v>44</v>
      </c>
      <c r="B57" s="12"/>
      <c r="C57" s="9" t="s">
        <v>53</v>
      </c>
      <c r="D57" s="10">
        <v>2</v>
      </c>
      <c r="E57" s="8" t="s">
        <v>26</v>
      </c>
      <c r="F57" s="8">
        <v>200</v>
      </c>
      <c r="G57" s="8">
        <v>100</v>
      </c>
      <c r="H57" s="8">
        <f t="shared" si="2"/>
        <v>300</v>
      </c>
      <c r="I57" s="8">
        <f t="shared" si="3"/>
        <v>600</v>
      </c>
      <c r="J57" s="53"/>
    </row>
    <row r="58" spans="1:10" s="11" customFormat="1" ht="15.75" x14ac:dyDescent="0.25">
      <c r="A58" s="51">
        <f>IF(D58=0,"",1+MAX(A$9:A57))</f>
        <v>45</v>
      </c>
      <c r="B58" s="12"/>
      <c r="C58" s="78" t="s">
        <v>55</v>
      </c>
      <c r="D58" s="52">
        <v>2</v>
      </c>
      <c r="E58" s="10" t="s">
        <v>26</v>
      </c>
      <c r="F58" s="8">
        <v>140</v>
      </c>
      <c r="G58" s="8">
        <v>90</v>
      </c>
      <c r="H58" s="8">
        <f t="shared" si="2"/>
        <v>230</v>
      </c>
      <c r="I58" s="8">
        <f t="shared" si="3"/>
        <v>460</v>
      </c>
      <c r="J58" s="53"/>
    </row>
    <row r="59" spans="1:10" s="11" customFormat="1" ht="15.75" x14ac:dyDescent="0.25">
      <c r="A59" s="51" t="str">
        <f>IF(D59=0,"",1+MAX(A$9:A58))</f>
        <v/>
      </c>
      <c r="B59" s="12"/>
      <c r="C59" s="79" t="s">
        <v>57</v>
      </c>
      <c r="D59" s="52"/>
      <c r="E59" s="10"/>
      <c r="F59" s="8"/>
      <c r="G59" s="8"/>
      <c r="H59" s="8"/>
      <c r="I59" s="8"/>
      <c r="J59" s="53"/>
    </row>
    <row r="60" spans="1:10" s="11" customFormat="1" ht="15.75" x14ac:dyDescent="0.25">
      <c r="A60" s="51">
        <f>IF(D60=0,"",1+MAX(A$9:A59))</f>
        <v>46</v>
      </c>
      <c r="B60" s="12"/>
      <c r="C60" s="78" t="s">
        <v>49</v>
      </c>
      <c r="D60" s="10">
        <v>2</v>
      </c>
      <c r="E60" s="8" t="s">
        <v>26</v>
      </c>
      <c r="F60" s="8">
        <v>450</v>
      </c>
      <c r="G60" s="8">
        <v>200</v>
      </c>
      <c r="H60" s="8">
        <f t="shared" si="2"/>
        <v>650</v>
      </c>
      <c r="I60" s="8">
        <f t="shared" si="3"/>
        <v>1300</v>
      </c>
      <c r="J60" s="53"/>
    </row>
    <row r="61" spans="1:10" s="11" customFormat="1" ht="15.75" x14ac:dyDescent="0.25">
      <c r="A61" s="51">
        <f>IF(D61=0,"",1+MAX(A$9:A60))</f>
        <v>47</v>
      </c>
      <c r="B61" s="12"/>
      <c r="C61" s="78" t="s">
        <v>28</v>
      </c>
      <c r="D61" s="10">
        <v>10</v>
      </c>
      <c r="E61" s="8" t="s">
        <v>26</v>
      </c>
      <c r="F61" s="8">
        <v>140</v>
      </c>
      <c r="G61" s="8">
        <v>90</v>
      </c>
      <c r="H61" s="8">
        <f t="shared" si="2"/>
        <v>230</v>
      </c>
      <c r="I61" s="8">
        <f t="shared" si="3"/>
        <v>2300</v>
      </c>
      <c r="J61" s="53"/>
    </row>
    <row r="62" spans="1:10" s="11" customFormat="1" ht="15.75" x14ac:dyDescent="0.25">
      <c r="A62" s="51">
        <f>IF(D62=0,"",1+MAX(A$9:A61))</f>
        <v>48</v>
      </c>
      <c r="B62" s="12"/>
      <c r="C62" s="78" t="s">
        <v>31</v>
      </c>
      <c r="D62" s="10">
        <v>3</v>
      </c>
      <c r="E62" s="8" t="s">
        <v>26</v>
      </c>
      <c r="F62" s="8">
        <v>200</v>
      </c>
      <c r="G62" s="8">
        <v>100</v>
      </c>
      <c r="H62" s="8">
        <f t="shared" si="2"/>
        <v>300</v>
      </c>
      <c r="I62" s="8">
        <f t="shared" si="3"/>
        <v>900</v>
      </c>
      <c r="J62" s="53"/>
    </row>
    <row r="63" spans="1:10" s="11" customFormat="1" ht="15.75" x14ac:dyDescent="0.25">
      <c r="A63" s="51">
        <f>IF(D63=0,"",1+MAX(A$9:A62))</f>
        <v>49</v>
      </c>
      <c r="B63" s="12"/>
      <c r="C63" s="78" t="s">
        <v>46</v>
      </c>
      <c r="D63" s="10">
        <v>2</v>
      </c>
      <c r="E63" s="8" t="s">
        <v>26</v>
      </c>
      <c r="F63" s="8">
        <v>200</v>
      </c>
      <c r="G63" s="8">
        <v>100</v>
      </c>
      <c r="H63" s="8">
        <f t="shared" si="2"/>
        <v>300</v>
      </c>
      <c r="I63" s="8">
        <f t="shared" si="3"/>
        <v>600</v>
      </c>
      <c r="J63" s="53"/>
    </row>
    <row r="64" spans="1:10" s="11" customFormat="1" ht="15.75" x14ac:dyDescent="0.25">
      <c r="A64" s="51">
        <f>IF(D64=0,"",1+MAX(A$9:A63))</f>
        <v>50</v>
      </c>
      <c r="B64" s="12"/>
      <c r="C64" s="9" t="s">
        <v>43</v>
      </c>
      <c r="D64" s="10">
        <v>1</v>
      </c>
      <c r="E64" s="8" t="s">
        <v>26</v>
      </c>
      <c r="F64" s="8">
        <v>140</v>
      </c>
      <c r="G64" s="8">
        <v>90</v>
      </c>
      <c r="H64" s="8">
        <f t="shared" si="2"/>
        <v>230</v>
      </c>
      <c r="I64" s="8">
        <f t="shared" si="3"/>
        <v>230</v>
      </c>
      <c r="J64" s="53"/>
    </row>
    <row r="65" spans="1:10" s="11" customFormat="1" ht="15.75" x14ac:dyDescent="0.25">
      <c r="A65" s="51">
        <f>IF(D65=0,"",1+MAX(A$9:A64))</f>
        <v>51</v>
      </c>
      <c r="B65" s="12"/>
      <c r="C65" s="9" t="s">
        <v>45</v>
      </c>
      <c r="D65" s="10">
        <v>1</v>
      </c>
      <c r="E65" s="8" t="s">
        <v>26</v>
      </c>
      <c r="F65" s="8">
        <v>210</v>
      </c>
      <c r="G65" s="8">
        <v>110</v>
      </c>
      <c r="H65" s="8">
        <f t="shared" si="2"/>
        <v>320</v>
      </c>
      <c r="I65" s="8">
        <f t="shared" si="3"/>
        <v>320</v>
      </c>
      <c r="J65" s="53"/>
    </row>
    <row r="66" spans="1:10" s="11" customFormat="1" ht="15.75" x14ac:dyDescent="0.25">
      <c r="A66" s="51" t="str">
        <f>IF(D66=0,"",1+MAX(A$9:A65))</f>
        <v/>
      </c>
      <c r="B66" s="12"/>
      <c r="C66" s="79" t="s">
        <v>56</v>
      </c>
      <c r="D66" s="10"/>
      <c r="E66" s="8"/>
      <c r="F66" s="8"/>
      <c r="G66" s="8"/>
      <c r="H66" s="8"/>
      <c r="I66" s="8"/>
      <c r="J66" s="53"/>
    </row>
    <row r="67" spans="1:10" s="11" customFormat="1" ht="15.75" x14ac:dyDescent="0.25">
      <c r="A67" s="51">
        <f>IF(D67=0,"",1+MAX(A$9:A66))</f>
        <v>52</v>
      </c>
      <c r="B67" s="12"/>
      <c r="C67" s="9" t="s">
        <v>45</v>
      </c>
      <c r="D67" s="10">
        <v>1</v>
      </c>
      <c r="E67" s="8" t="s">
        <v>26</v>
      </c>
      <c r="F67" s="8">
        <v>210</v>
      </c>
      <c r="G67" s="8">
        <v>110</v>
      </c>
      <c r="H67" s="8">
        <f t="shared" si="2"/>
        <v>320</v>
      </c>
      <c r="I67" s="8">
        <f t="shared" si="3"/>
        <v>320</v>
      </c>
      <c r="J67" s="53"/>
    </row>
    <row r="68" spans="1:10" s="11" customFormat="1" ht="15.75" x14ac:dyDescent="0.25">
      <c r="A68" s="51">
        <f>IF(D68=0,"",1+MAX(A$9:A67))</f>
        <v>53</v>
      </c>
      <c r="B68" s="12"/>
      <c r="C68" s="9" t="s">
        <v>28</v>
      </c>
      <c r="D68" s="10">
        <v>12</v>
      </c>
      <c r="E68" s="8" t="s">
        <v>26</v>
      </c>
      <c r="F68" s="8">
        <v>140</v>
      </c>
      <c r="G68" s="8">
        <v>90</v>
      </c>
      <c r="H68" s="8">
        <f t="shared" si="2"/>
        <v>230</v>
      </c>
      <c r="I68" s="8">
        <f t="shared" si="3"/>
        <v>2760</v>
      </c>
      <c r="J68" s="53"/>
    </row>
    <row r="69" spans="1:10" s="11" customFormat="1" ht="15.75" x14ac:dyDescent="0.25">
      <c r="A69" s="51">
        <f>IF(D69=0,"",1+MAX(A$9:A68))</f>
        <v>54</v>
      </c>
      <c r="B69" s="12"/>
      <c r="C69" s="9" t="s">
        <v>31</v>
      </c>
      <c r="D69" s="10">
        <v>3</v>
      </c>
      <c r="E69" s="8" t="s">
        <v>26</v>
      </c>
      <c r="F69" s="8">
        <v>200</v>
      </c>
      <c r="G69" s="8">
        <v>100</v>
      </c>
      <c r="H69" s="8">
        <f t="shared" si="2"/>
        <v>300</v>
      </c>
      <c r="I69" s="8">
        <f t="shared" si="3"/>
        <v>900</v>
      </c>
      <c r="J69" s="53"/>
    </row>
    <row r="70" spans="1:10" s="11" customFormat="1" ht="15.75" x14ac:dyDescent="0.25">
      <c r="A70" s="51">
        <f>IF(D70=0,"",1+MAX(A$9:A69))</f>
        <v>55</v>
      </c>
      <c r="B70" s="12"/>
      <c r="C70" s="9" t="s">
        <v>43</v>
      </c>
      <c r="D70" s="10">
        <v>1</v>
      </c>
      <c r="E70" s="8" t="s">
        <v>26</v>
      </c>
      <c r="F70" s="8">
        <v>140</v>
      </c>
      <c r="G70" s="8">
        <v>90</v>
      </c>
      <c r="H70" s="8">
        <f t="shared" si="2"/>
        <v>230</v>
      </c>
      <c r="I70" s="8">
        <f t="shared" si="3"/>
        <v>230</v>
      </c>
      <c r="J70" s="53"/>
    </row>
    <row r="71" spans="1:10" s="11" customFormat="1" ht="15.75" x14ac:dyDescent="0.25">
      <c r="A71" s="51">
        <f>IF(D71=0,"",1+MAX(A$9:A70))</f>
        <v>56</v>
      </c>
      <c r="B71" s="12"/>
      <c r="C71" s="9" t="s">
        <v>46</v>
      </c>
      <c r="D71" s="10">
        <v>2</v>
      </c>
      <c r="E71" s="8" t="s">
        <v>26</v>
      </c>
      <c r="F71" s="8">
        <v>200</v>
      </c>
      <c r="G71" s="8">
        <v>100</v>
      </c>
      <c r="H71" s="8">
        <f t="shared" si="2"/>
        <v>300</v>
      </c>
      <c r="I71" s="8">
        <f t="shared" si="3"/>
        <v>600</v>
      </c>
      <c r="J71" s="53"/>
    </row>
    <row r="72" spans="1:10" s="11" customFormat="1" ht="15.75" x14ac:dyDescent="0.25">
      <c r="A72" s="51">
        <f>IF(D72=0,"",1+MAX(A$9:A71))</f>
        <v>57</v>
      </c>
      <c r="B72" s="12"/>
      <c r="C72" s="9" t="s">
        <v>49</v>
      </c>
      <c r="D72" s="10">
        <v>2</v>
      </c>
      <c r="E72" s="8" t="s">
        <v>26</v>
      </c>
      <c r="F72" s="8">
        <v>450</v>
      </c>
      <c r="G72" s="8">
        <v>200</v>
      </c>
      <c r="H72" s="8">
        <f t="shared" si="2"/>
        <v>650</v>
      </c>
      <c r="I72" s="8">
        <f t="shared" si="3"/>
        <v>1300</v>
      </c>
      <c r="J72" s="53"/>
    </row>
    <row r="73" spans="1:10" s="11" customFormat="1" ht="15.75" x14ac:dyDescent="0.25">
      <c r="A73" s="51" t="str">
        <f>IF(D73=0,"",1+MAX(A$9:A72))</f>
        <v/>
      </c>
      <c r="B73" s="12"/>
      <c r="C73" s="79" t="s">
        <v>58</v>
      </c>
      <c r="D73" s="10"/>
      <c r="E73" s="8"/>
      <c r="F73" s="8"/>
      <c r="G73" s="8"/>
      <c r="H73" s="8"/>
      <c r="I73" s="8"/>
      <c r="J73" s="53"/>
    </row>
    <row r="74" spans="1:10" s="11" customFormat="1" ht="15.75" x14ac:dyDescent="0.25">
      <c r="A74" s="51">
        <f>IF(D74=0,"",1+MAX(A$9:A73))</f>
        <v>58</v>
      </c>
      <c r="B74" s="12"/>
      <c r="C74" s="9" t="s">
        <v>49</v>
      </c>
      <c r="D74" s="10">
        <v>2</v>
      </c>
      <c r="E74" s="8" t="s">
        <v>26</v>
      </c>
      <c r="F74" s="8">
        <v>450</v>
      </c>
      <c r="G74" s="8">
        <v>200</v>
      </c>
      <c r="H74" s="8">
        <f t="shared" si="2"/>
        <v>650</v>
      </c>
      <c r="I74" s="8">
        <f t="shared" si="3"/>
        <v>1300</v>
      </c>
      <c r="J74" s="53"/>
    </row>
    <row r="75" spans="1:10" s="11" customFormat="1" ht="15.75" x14ac:dyDescent="0.25">
      <c r="A75" s="51">
        <f>IF(D75=0,"",1+MAX(A$9:A74))</f>
        <v>59</v>
      </c>
      <c r="B75" s="12"/>
      <c r="C75" s="9" t="s">
        <v>28</v>
      </c>
      <c r="D75" s="10">
        <v>10</v>
      </c>
      <c r="E75" s="8" t="s">
        <v>26</v>
      </c>
      <c r="F75" s="8">
        <v>140</v>
      </c>
      <c r="G75" s="8">
        <v>90</v>
      </c>
      <c r="H75" s="8">
        <f t="shared" si="2"/>
        <v>230</v>
      </c>
      <c r="I75" s="8">
        <f t="shared" si="3"/>
        <v>2300</v>
      </c>
      <c r="J75" s="53"/>
    </row>
    <row r="76" spans="1:10" s="11" customFormat="1" ht="15.75" x14ac:dyDescent="0.25">
      <c r="A76" s="51">
        <f>IF(D76=0,"",1+MAX(A$9:A75))</f>
        <v>60</v>
      </c>
      <c r="B76" s="12"/>
      <c r="C76" s="9" t="s">
        <v>31</v>
      </c>
      <c r="D76" s="10">
        <v>4</v>
      </c>
      <c r="E76" s="8" t="s">
        <v>26</v>
      </c>
      <c r="F76" s="8">
        <v>200</v>
      </c>
      <c r="G76" s="8">
        <v>100</v>
      </c>
      <c r="H76" s="8">
        <f t="shared" si="2"/>
        <v>300</v>
      </c>
      <c r="I76" s="8">
        <f t="shared" si="3"/>
        <v>1200</v>
      </c>
      <c r="J76" s="53"/>
    </row>
    <row r="77" spans="1:10" s="11" customFormat="1" ht="15.75" x14ac:dyDescent="0.25">
      <c r="A77" s="51">
        <f>IF(D77=0,"",1+MAX(A$9:A76))</f>
        <v>61</v>
      </c>
      <c r="B77" s="12"/>
      <c r="C77" s="9" t="s">
        <v>46</v>
      </c>
      <c r="D77" s="10">
        <v>3</v>
      </c>
      <c r="E77" s="8" t="s">
        <v>26</v>
      </c>
      <c r="F77" s="8">
        <v>200</v>
      </c>
      <c r="G77" s="8">
        <v>100</v>
      </c>
      <c r="H77" s="8">
        <f t="shared" si="2"/>
        <v>300</v>
      </c>
      <c r="I77" s="8">
        <f t="shared" si="3"/>
        <v>900</v>
      </c>
      <c r="J77" s="53"/>
    </row>
    <row r="78" spans="1:10" s="11" customFormat="1" ht="15.75" x14ac:dyDescent="0.25">
      <c r="A78" s="51">
        <f>IF(D78=0,"",1+MAX(A$9:A77))</f>
        <v>62</v>
      </c>
      <c r="B78" s="12"/>
      <c r="C78" s="9" t="s">
        <v>45</v>
      </c>
      <c r="D78" s="10">
        <v>1</v>
      </c>
      <c r="E78" s="8" t="s">
        <v>26</v>
      </c>
      <c r="F78" s="8">
        <v>210</v>
      </c>
      <c r="G78" s="8">
        <v>110</v>
      </c>
      <c r="H78" s="8">
        <f t="shared" si="2"/>
        <v>320</v>
      </c>
      <c r="I78" s="8">
        <f t="shared" si="3"/>
        <v>320</v>
      </c>
      <c r="J78" s="53"/>
    </row>
    <row r="79" spans="1:10" s="11" customFormat="1" ht="15.75" x14ac:dyDescent="0.25">
      <c r="A79" s="51" t="str">
        <f>IF(D79=0,"",1+MAX(A$9:A78))</f>
        <v/>
      </c>
      <c r="B79" s="12"/>
      <c r="C79" s="80" t="s">
        <v>60</v>
      </c>
      <c r="D79" s="10"/>
      <c r="E79" s="8"/>
      <c r="F79" s="8"/>
      <c r="G79" s="8"/>
      <c r="H79" s="8"/>
      <c r="I79" s="8"/>
      <c r="J79" s="53"/>
    </row>
    <row r="80" spans="1:10" s="11" customFormat="1" ht="15.75" x14ac:dyDescent="0.25">
      <c r="A80" s="51">
        <f>IF(D80=0,"",1+MAX(A$9:A79))</f>
        <v>63</v>
      </c>
      <c r="B80" s="12"/>
      <c r="C80" s="9" t="s">
        <v>27</v>
      </c>
      <c r="D80" s="52">
        <v>2</v>
      </c>
      <c r="E80" s="10" t="s">
        <v>26</v>
      </c>
      <c r="F80" s="8">
        <v>150</v>
      </c>
      <c r="G80" s="8">
        <v>100</v>
      </c>
      <c r="H80" s="8">
        <f t="shared" si="2"/>
        <v>250</v>
      </c>
      <c r="I80" s="8">
        <f t="shared" si="3"/>
        <v>500</v>
      </c>
      <c r="J80" s="53"/>
    </row>
    <row r="81" spans="1:10" s="11" customFormat="1" ht="15.75" x14ac:dyDescent="0.25">
      <c r="A81" s="51">
        <f>IF(D81=0,"",1+MAX(A$9:A80))</f>
        <v>64</v>
      </c>
      <c r="B81" s="12"/>
      <c r="C81" s="9" t="s">
        <v>59</v>
      </c>
      <c r="D81" s="52">
        <v>2</v>
      </c>
      <c r="E81" s="10" t="s">
        <v>26</v>
      </c>
      <c r="F81" s="8">
        <v>200</v>
      </c>
      <c r="G81" s="8">
        <v>100</v>
      </c>
      <c r="H81" s="8">
        <f t="shared" si="2"/>
        <v>300</v>
      </c>
      <c r="I81" s="8">
        <f t="shared" si="3"/>
        <v>600</v>
      </c>
      <c r="J81" s="53"/>
    </row>
    <row r="82" spans="1:10" s="11" customFormat="1" ht="15.75" x14ac:dyDescent="0.25">
      <c r="A82" s="51">
        <f>IF(D82=0,"",1+MAX(A$9:A81))</f>
        <v>65</v>
      </c>
      <c r="B82" s="12"/>
      <c r="C82" s="9" t="s">
        <v>46</v>
      </c>
      <c r="D82" s="52">
        <v>2</v>
      </c>
      <c r="E82" s="10" t="s">
        <v>26</v>
      </c>
      <c r="F82" s="8">
        <v>200</v>
      </c>
      <c r="G82" s="8">
        <v>100</v>
      </c>
      <c r="H82" s="8">
        <f t="shared" si="2"/>
        <v>300</v>
      </c>
      <c r="I82" s="8">
        <f t="shared" si="3"/>
        <v>600</v>
      </c>
      <c r="J82" s="53"/>
    </row>
    <row r="83" spans="1:10" s="11" customFormat="1" ht="15.75" x14ac:dyDescent="0.25">
      <c r="A83" s="51">
        <f>IF(D83=0,"",1+MAX(A$9:A82))</f>
        <v>66</v>
      </c>
      <c r="B83" s="12"/>
      <c r="C83" s="9" t="s">
        <v>32</v>
      </c>
      <c r="D83" s="52">
        <v>7</v>
      </c>
      <c r="E83" s="10" t="s">
        <v>26</v>
      </c>
      <c r="F83" s="8">
        <v>70</v>
      </c>
      <c r="G83" s="8">
        <v>50</v>
      </c>
      <c r="H83" s="8">
        <f t="shared" si="2"/>
        <v>120</v>
      </c>
      <c r="I83" s="8">
        <f t="shared" si="3"/>
        <v>840</v>
      </c>
      <c r="J83" s="53"/>
    </row>
    <row r="84" spans="1:10" s="11" customFormat="1" ht="15.75" x14ac:dyDescent="0.25">
      <c r="A84" s="51">
        <f>IF(D84=0,"",1+MAX(A$9:A83))</f>
        <v>67</v>
      </c>
      <c r="B84" s="12"/>
      <c r="C84" s="9" t="s">
        <v>36</v>
      </c>
      <c r="D84" s="52">
        <v>4</v>
      </c>
      <c r="E84" s="10" t="s">
        <v>26</v>
      </c>
      <c r="F84" s="8">
        <v>140</v>
      </c>
      <c r="G84" s="8">
        <v>90</v>
      </c>
      <c r="H84" s="8">
        <f t="shared" si="2"/>
        <v>230</v>
      </c>
      <c r="I84" s="8">
        <f t="shared" si="3"/>
        <v>920</v>
      </c>
      <c r="J84" s="53"/>
    </row>
    <row r="85" spans="1:10" s="11" customFormat="1" ht="15.75" x14ac:dyDescent="0.25">
      <c r="A85" s="51">
        <f>IF(D85=0,"",1+MAX(A$9:A84))</f>
        <v>68</v>
      </c>
      <c r="B85" s="12"/>
      <c r="C85" s="9" t="s">
        <v>61</v>
      </c>
      <c r="D85" s="52">
        <v>1</v>
      </c>
      <c r="E85" s="10" t="s">
        <v>26</v>
      </c>
      <c r="F85" s="8">
        <v>1600</v>
      </c>
      <c r="G85" s="8">
        <v>800</v>
      </c>
      <c r="H85" s="8">
        <f t="shared" ref="H85:H147" si="4">F85+G85</f>
        <v>2400</v>
      </c>
      <c r="I85" s="8">
        <f t="shared" ref="I85:I147" si="5">D85*H85</f>
        <v>2400</v>
      </c>
      <c r="J85" s="53"/>
    </row>
    <row r="86" spans="1:10" s="11" customFormat="1" ht="15.75" x14ac:dyDescent="0.25">
      <c r="A86" s="51" t="str">
        <f>IF(D86=0,"",1+MAX(A$9:A85))</f>
        <v/>
      </c>
      <c r="B86" s="12"/>
      <c r="C86" s="80" t="s">
        <v>67</v>
      </c>
      <c r="D86" s="52"/>
      <c r="E86" s="10"/>
      <c r="F86" s="8"/>
      <c r="G86" s="8"/>
      <c r="H86" s="8"/>
      <c r="I86" s="8"/>
      <c r="J86" s="53"/>
    </row>
    <row r="87" spans="1:10" s="11" customFormat="1" ht="15.75" x14ac:dyDescent="0.25">
      <c r="A87" s="51">
        <f>IF(D87=0,"",1+MAX(A$9:A86))</f>
        <v>69</v>
      </c>
      <c r="B87" s="12"/>
      <c r="C87" s="78" t="s">
        <v>90</v>
      </c>
      <c r="D87" s="52">
        <v>11</v>
      </c>
      <c r="E87" s="10" t="s">
        <v>26</v>
      </c>
      <c r="F87" s="8">
        <v>200</v>
      </c>
      <c r="G87" s="8">
        <v>100</v>
      </c>
      <c r="H87" s="8">
        <f t="shared" si="4"/>
        <v>300</v>
      </c>
      <c r="I87" s="8">
        <f t="shared" si="5"/>
        <v>3300</v>
      </c>
      <c r="J87" s="53"/>
    </row>
    <row r="88" spans="1:10" s="11" customFormat="1" ht="15.75" x14ac:dyDescent="0.25">
      <c r="A88" s="51">
        <f>IF(D88=0,"",1+MAX(A$9:A87))</f>
        <v>70</v>
      </c>
      <c r="B88" s="12"/>
      <c r="C88" s="78" t="s">
        <v>92</v>
      </c>
      <c r="D88" s="52">
        <v>42</v>
      </c>
      <c r="E88" s="10" t="s">
        <v>26</v>
      </c>
      <c r="F88" s="8">
        <v>280</v>
      </c>
      <c r="G88" s="8">
        <v>140</v>
      </c>
      <c r="H88" s="8">
        <f t="shared" si="4"/>
        <v>420</v>
      </c>
      <c r="I88" s="8">
        <f t="shared" si="5"/>
        <v>17640</v>
      </c>
      <c r="J88" s="53"/>
    </row>
    <row r="89" spans="1:10" s="11" customFormat="1" ht="15.75" x14ac:dyDescent="0.25">
      <c r="A89" s="51">
        <f>IF(D89=0,"",1+MAX(A$9:A88))</f>
        <v>71</v>
      </c>
      <c r="B89" s="12"/>
      <c r="C89" s="78" t="s">
        <v>116</v>
      </c>
      <c r="D89" s="52">
        <v>5</v>
      </c>
      <c r="E89" s="10" t="s">
        <v>26</v>
      </c>
      <c r="F89" s="8">
        <v>300</v>
      </c>
      <c r="G89" s="8">
        <v>150</v>
      </c>
      <c r="H89" s="8">
        <f t="shared" si="4"/>
        <v>450</v>
      </c>
      <c r="I89" s="8">
        <f t="shared" si="5"/>
        <v>2250</v>
      </c>
      <c r="J89" s="53"/>
    </row>
    <row r="90" spans="1:10" s="11" customFormat="1" ht="15.75" x14ac:dyDescent="0.25">
      <c r="A90" s="51">
        <f>IF(D90=0,"",1+MAX(A$9:A89))</f>
        <v>72</v>
      </c>
      <c r="B90" s="12"/>
      <c r="C90" s="81" t="s">
        <v>93</v>
      </c>
      <c r="D90" s="82">
        <v>53</v>
      </c>
      <c r="E90" s="83" t="s">
        <v>26</v>
      </c>
      <c r="F90" s="85">
        <v>300</v>
      </c>
      <c r="G90" s="8">
        <v>150</v>
      </c>
      <c r="H90" s="8">
        <f t="shared" si="4"/>
        <v>450</v>
      </c>
      <c r="I90" s="8">
        <f t="shared" si="5"/>
        <v>23850</v>
      </c>
      <c r="J90" s="53"/>
    </row>
    <row r="91" spans="1:10" s="11" customFormat="1" ht="15.75" x14ac:dyDescent="0.25">
      <c r="A91" s="51">
        <f>IF(D91=0,"",1+MAX(A$9:A90))</f>
        <v>73</v>
      </c>
      <c r="B91" s="12"/>
      <c r="C91" s="81" t="s">
        <v>72</v>
      </c>
      <c r="D91" s="82">
        <v>65</v>
      </c>
      <c r="E91" s="83" t="s">
        <v>26</v>
      </c>
      <c r="F91" s="85">
        <v>300</v>
      </c>
      <c r="G91" s="8">
        <v>150</v>
      </c>
      <c r="H91" s="8">
        <f t="shared" si="4"/>
        <v>450</v>
      </c>
      <c r="I91" s="8">
        <f t="shared" si="5"/>
        <v>29250</v>
      </c>
      <c r="J91" s="53"/>
    </row>
    <row r="92" spans="1:10" s="11" customFormat="1" ht="15.75" x14ac:dyDescent="0.25">
      <c r="A92" s="51">
        <f>IF(D92=0,"",1+MAX(A$9:A91))</f>
        <v>74</v>
      </c>
      <c r="B92" s="12"/>
      <c r="C92" s="81" t="s">
        <v>96</v>
      </c>
      <c r="D92" s="82">
        <v>14</v>
      </c>
      <c r="E92" s="83" t="s">
        <v>26</v>
      </c>
      <c r="F92" s="85">
        <v>300</v>
      </c>
      <c r="G92" s="8">
        <v>150</v>
      </c>
      <c r="H92" s="8">
        <f t="shared" si="4"/>
        <v>450</v>
      </c>
      <c r="I92" s="8">
        <f t="shared" si="5"/>
        <v>6300</v>
      </c>
      <c r="J92" s="53"/>
    </row>
    <row r="93" spans="1:10" s="11" customFormat="1" ht="15.75" x14ac:dyDescent="0.25">
      <c r="A93" s="51">
        <f>IF(D93=0,"",1+MAX(A$9:A92))</f>
        <v>75</v>
      </c>
      <c r="B93" s="12"/>
      <c r="C93" s="81" t="s">
        <v>95</v>
      </c>
      <c r="D93" s="82">
        <v>3</v>
      </c>
      <c r="E93" s="83" t="s">
        <v>26</v>
      </c>
      <c r="F93" s="85">
        <v>300</v>
      </c>
      <c r="G93" s="8">
        <v>150</v>
      </c>
      <c r="H93" s="8">
        <f t="shared" si="4"/>
        <v>450</v>
      </c>
      <c r="I93" s="8">
        <f t="shared" si="5"/>
        <v>1350</v>
      </c>
      <c r="J93" s="53"/>
    </row>
    <row r="94" spans="1:10" s="11" customFormat="1" ht="15.75" x14ac:dyDescent="0.25">
      <c r="A94" s="51">
        <f>IF(D94=0,"",1+MAX(A$9:A93))</f>
        <v>76</v>
      </c>
      <c r="B94" s="12"/>
      <c r="C94" s="81" t="s">
        <v>96</v>
      </c>
      <c r="D94" s="82">
        <v>6</v>
      </c>
      <c r="E94" s="83" t="s">
        <v>26</v>
      </c>
      <c r="F94" s="85">
        <v>300</v>
      </c>
      <c r="G94" s="8">
        <v>150</v>
      </c>
      <c r="H94" s="8">
        <f t="shared" si="4"/>
        <v>450</v>
      </c>
      <c r="I94" s="8">
        <f t="shared" si="5"/>
        <v>2700</v>
      </c>
      <c r="J94" s="53"/>
    </row>
    <row r="95" spans="1:10" s="11" customFormat="1" ht="15.75" x14ac:dyDescent="0.25">
      <c r="A95" s="51">
        <f>IF(D95=0,"",1+MAX(A$9:A94))</f>
        <v>77</v>
      </c>
      <c r="B95" s="12"/>
      <c r="C95" s="81" t="s">
        <v>91</v>
      </c>
      <c r="D95" s="82">
        <v>1</v>
      </c>
      <c r="E95" s="83" t="s">
        <v>26</v>
      </c>
      <c r="F95" s="85">
        <v>300</v>
      </c>
      <c r="G95" s="8">
        <v>150</v>
      </c>
      <c r="H95" s="8">
        <f t="shared" si="4"/>
        <v>450</v>
      </c>
      <c r="I95" s="8">
        <f t="shared" si="5"/>
        <v>450</v>
      </c>
      <c r="J95" s="53"/>
    </row>
    <row r="96" spans="1:10" s="11" customFormat="1" ht="15.75" x14ac:dyDescent="0.25">
      <c r="A96" s="51">
        <f>IF(D96=0,"",1+MAX(A$9:A95))</f>
        <v>78</v>
      </c>
      <c r="B96" s="12"/>
      <c r="C96" s="81" t="s">
        <v>97</v>
      </c>
      <c r="D96" s="82">
        <v>11</v>
      </c>
      <c r="E96" s="83" t="s">
        <v>26</v>
      </c>
      <c r="F96" s="85">
        <v>320</v>
      </c>
      <c r="G96" s="8">
        <v>150</v>
      </c>
      <c r="H96" s="8">
        <f t="shared" si="4"/>
        <v>470</v>
      </c>
      <c r="I96" s="8">
        <f t="shared" si="5"/>
        <v>5170</v>
      </c>
      <c r="J96" s="53"/>
    </row>
    <row r="97" spans="1:10" s="11" customFormat="1" ht="15.75" x14ac:dyDescent="0.25">
      <c r="A97" s="51">
        <f>IF(D97=0,"",1+MAX(A$9:A96))</f>
        <v>79</v>
      </c>
      <c r="B97" s="12"/>
      <c r="C97" s="81" t="s">
        <v>62</v>
      </c>
      <c r="D97" s="82">
        <v>30</v>
      </c>
      <c r="E97" s="83" t="s">
        <v>26</v>
      </c>
      <c r="F97" s="85">
        <v>70</v>
      </c>
      <c r="G97" s="8">
        <v>50</v>
      </c>
      <c r="H97" s="8">
        <f t="shared" si="4"/>
        <v>120</v>
      </c>
      <c r="I97" s="8">
        <f t="shared" si="5"/>
        <v>3600</v>
      </c>
      <c r="J97" s="53"/>
    </row>
    <row r="98" spans="1:10" s="11" customFormat="1" ht="15.75" x14ac:dyDescent="0.25">
      <c r="A98" s="51">
        <f>IF(D98=0,"",1+MAX(A$9:A97))</f>
        <v>80</v>
      </c>
      <c r="B98" s="12"/>
      <c r="C98" s="81" t="s">
        <v>98</v>
      </c>
      <c r="D98" s="82">
        <v>15</v>
      </c>
      <c r="E98" s="83" t="s">
        <v>26</v>
      </c>
      <c r="F98" s="85">
        <v>300</v>
      </c>
      <c r="G98" s="8">
        <v>150</v>
      </c>
      <c r="H98" s="8">
        <f t="shared" si="4"/>
        <v>450</v>
      </c>
      <c r="I98" s="8">
        <f t="shared" si="5"/>
        <v>6750</v>
      </c>
      <c r="J98" s="53"/>
    </row>
    <row r="99" spans="1:10" s="11" customFormat="1" ht="15.75" x14ac:dyDescent="0.25">
      <c r="A99" s="51">
        <f>IF(D99=0,"",1+MAX(A$9:A98))</f>
        <v>81</v>
      </c>
      <c r="B99" s="12"/>
      <c r="C99" s="9" t="s">
        <v>99</v>
      </c>
      <c r="D99" s="52">
        <v>12</v>
      </c>
      <c r="E99" s="10" t="s">
        <v>26</v>
      </c>
      <c r="F99" s="8">
        <v>300</v>
      </c>
      <c r="G99" s="8">
        <v>150</v>
      </c>
      <c r="H99" s="8">
        <f t="shared" si="4"/>
        <v>450</v>
      </c>
      <c r="I99" s="8">
        <f t="shared" si="5"/>
        <v>5400</v>
      </c>
      <c r="J99" s="53"/>
    </row>
    <row r="100" spans="1:10" s="11" customFormat="1" ht="15.75" x14ac:dyDescent="0.25">
      <c r="A100" s="51">
        <f>IF(D100=0,"",1+MAX(A$9:A99))</f>
        <v>82</v>
      </c>
      <c r="B100" s="12"/>
      <c r="C100" s="9" t="s">
        <v>100</v>
      </c>
      <c r="D100" s="52">
        <v>5</v>
      </c>
      <c r="E100" s="10" t="s">
        <v>26</v>
      </c>
      <c r="F100" s="8">
        <v>300</v>
      </c>
      <c r="G100" s="8">
        <v>150</v>
      </c>
      <c r="H100" s="8">
        <f t="shared" si="4"/>
        <v>450</v>
      </c>
      <c r="I100" s="8">
        <f t="shared" si="5"/>
        <v>2250</v>
      </c>
      <c r="J100" s="53"/>
    </row>
    <row r="101" spans="1:10" s="11" customFormat="1" ht="15.75" x14ac:dyDescent="0.25">
      <c r="A101" s="51">
        <f>IF(D101=0,"",1+MAX(A$9:A100))</f>
        <v>83</v>
      </c>
      <c r="B101" s="12"/>
      <c r="C101" s="9" t="s">
        <v>63</v>
      </c>
      <c r="D101" s="52">
        <v>2</v>
      </c>
      <c r="E101" s="10" t="s">
        <v>26</v>
      </c>
      <c r="F101" s="8">
        <v>150</v>
      </c>
      <c r="G101" s="8">
        <v>100</v>
      </c>
      <c r="H101" s="8">
        <f t="shared" si="4"/>
        <v>250</v>
      </c>
      <c r="I101" s="8">
        <f t="shared" si="5"/>
        <v>500</v>
      </c>
      <c r="J101" s="53"/>
    </row>
    <row r="102" spans="1:10" s="11" customFormat="1" ht="15.75" x14ac:dyDescent="0.25">
      <c r="A102" s="51">
        <f>IF(D102=0,"",1+MAX(A$9:A101))</f>
        <v>84</v>
      </c>
      <c r="B102" s="12"/>
      <c r="C102" s="9" t="s">
        <v>106</v>
      </c>
      <c r="D102" s="52">
        <v>2</v>
      </c>
      <c r="E102" s="10" t="s">
        <v>26</v>
      </c>
      <c r="F102" s="8">
        <v>300</v>
      </c>
      <c r="G102" s="8">
        <v>150</v>
      </c>
      <c r="H102" s="8">
        <f t="shared" si="4"/>
        <v>450</v>
      </c>
      <c r="I102" s="8">
        <f t="shared" si="5"/>
        <v>900</v>
      </c>
      <c r="J102" s="53"/>
    </row>
    <row r="103" spans="1:10" s="11" customFormat="1" ht="15.75" x14ac:dyDescent="0.25">
      <c r="A103" s="51">
        <f>IF(D103=0,"",1+MAX(A$9:A102))</f>
        <v>85</v>
      </c>
      <c r="B103" s="12"/>
      <c r="C103" s="9" t="s">
        <v>108</v>
      </c>
      <c r="D103" s="52">
        <v>14</v>
      </c>
      <c r="E103" s="10" t="s">
        <v>26</v>
      </c>
      <c r="F103" s="8">
        <v>200</v>
      </c>
      <c r="G103" s="8">
        <v>100</v>
      </c>
      <c r="H103" s="8">
        <f t="shared" si="4"/>
        <v>300</v>
      </c>
      <c r="I103" s="8">
        <f t="shared" si="5"/>
        <v>4200</v>
      </c>
      <c r="J103" s="53"/>
    </row>
    <row r="104" spans="1:10" s="11" customFormat="1" ht="15.75" x14ac:dyDescent="0.25">
      <c r="A104" s="51">
        <f>IF(D104=0,"",1+MAX(A$9:A103))</f>
        <v>86</v>
      </c>
      <c r="B104" s="12"/>
      <c r="C104" s="9" t="s">
        <v>103</v>
      </c>
      <c r="D104" s="52">
        <v>1</v>
      </c>
      <c r="E104" s="10" t="s">
        <v>26</v>
      </c>
      <c r="F104" s="8">
        <v>200</v>
      </c>
      <c r="G104" s="8">
        <v>100</v>
      </c>
      <c r="H104" s="8">
        <f t="shared" si="4"/>
        <v>300</v>
      </c>
      <c r="I104" s="8">
        <f t="shared" si="5"/>
        <v>300</v>
      </c>
      <c r="J104" s="53"/>
    </row>
    <row r="105" spans="1:10" s="11" customFormat="1" ht="15.75" x14ac:dyDescent="0.25">
      <c r="A105" s="51">
        <f>IF(D105=0,"",1+MAX(A$9:A104))</f>
        <v>87</v>
      </c>
      <c r="B105" s="12"/>
      <c r="C105" s="9" t="s">
        <v>105</v>
      </c>
      <c r="D105" s="52">
        <v>12</v>
      </c>
      <c r="E105" s="10" t="s">
        <v>26</v>
      </c>
      <c r="F105" s="8">
        <v>290</v>
      </c>
      <c r="G105" s="8">
        <v>150</v>
      </c>
      <c r="H105" s="8">
        <f t="shared" si="4"/>
        <v>440</v>
      </c>
      <c r="I105" s="8">
        <f t="shared" si="5"/>
        <v>5280</v>
      </c>
      <c r="J105" s="53"/>
    </row>
    <row r="106" spans="1:10" s="11" customFormat="1" ht="15.75" x14ac:dyDescent="0.25">
      <c r="A106" s="51">
        <f>IF(D106=0,"",1+MAX(A$9:A105))</f>
        <v>88</v>
      </c>
      <c r="B106" s="12"/>
      <c r="C106" s="9" t="s">
        <v>104</v>
      </c>
      <c r="D106" s="52">
        <v>24</v>
      </c>
      <c r="E106" s="10" t="s">
        <v>26</v>
      </c>
      <c r="F106" s="8">
        <v>300</v>
      </c>
      <c r="G106" s="8">
        <v>150</v>
      </c>
      <c r="H106" s="8">
        <f t="shared" si="4"/>
        <v>450</v>
      </c>
      <c r="I106" s="8">
        <f t="shared" si="5"/>
        <v>10800</v>
      </c>
      <c r="J106" s="53"/>
    </row>
    <row r="107" spans="1:10" s="11" customFormat="1" ht="15.75" x14ac:dyDescent="0.25">
      <c r="A107" s="51">
        <f>IF(D107=0,"",1+MAX(A$9:A106))</f>
        <v>89</v>
      </c>
      <c r="B107" s="12"/>
      <c r="C107" s="9" t="s">
        <v>110</v>
      </c>
      <c r="D107" s="52">
        <v>2</v>
      </c>
      <c r="E107" s="10" t="s">
        <v>26</v>
      </c>
      <c r="F107" s="8">
        <v>300</v>
      </c>
      <c r="G107" s="8">
        <v>150</v>
      </c>
      <c r="H107" s="8">
        <f t="shared" si="4"/>
        <v>450</v>
      </c>
      <c r="I107" s="8">
        <f t="shared" si="5"/>
        <v>900</v>
      </c>
      <c r="J107" s="53"/>
    </row>
    <row r="108" spans="1:10" s="11" customFormat="1" ht="15.75" x14ac:dyDescent="0.25">
      <c r="A108" s="51">
        <f>IF(D108=0,"",1+MAX(A$9:A107))</f>
        <v>90</v>
      </c>
      <c r="B108" s="12"/>
      <c r="C108" s="9" t="s">
        <v>111</v>
      </c>
      <c r="D108" s="52">
        <v>1</v>
      </c>
      <c r="E108" s="10" t="s">
        <v>26</v>
      </c>
      <c r="F108" s="8">
        <v>300</v>
      </c>
      <c r="G108" s="8">
        <v>150</v>
      </c>
      <c r="H108" s="8">
        <f t="shared" si="4"/>
        <v>450</v>
      </c>
      <c r="I108" s="8">
        <f t="shared" si="5"/>
        <v>450</v>
      </c>
      <c r="J108" s="53"/>
    </row>
    <row r="109" spans="1:10" s="11" customFormat="1" ht="15.75" x14ac:dyDescent="0.25">
      <c r="A109" s="51">
        <f>IF(D109=0,"",1+MAX(A$9:A108))</f>
        <v>91</v>
      </c>
      <c r="B109" s="12"/>
      <c r="C109" s="78" t="s">
        <v>109</v>
      </c>
      <c r="D109" s="52">
        <v>3</v>
      </c>
      <c r="E109" s="10" t="s">
        <v>26</v>
      </c>
      <c r="F109" s="8">
        <v>300</v>
      </c>
      <c r="G109" s="8">
        <v>150</v>
      </c>
      <c r="H109" s="8">
        <f t="shared" si="4"/>
        <v>450</v>
      </c>
      <c r="I109" s="8">
        <f t="shared" si="5"/>
        <v>1350</v>
      </c>
      <c r="J109" s="53"/>
    </row>
    <row r="110" spans="1:10" s="11" customFormat="1" ht="15.75" x14ac:dyDescent="0.25">
      <c r="A110" s="51">
        <f>IF(D110=0,"",1+MAX(A$9:A109))</f>
        <v>92</v>
      </c>
      <c r="B110" s="12"/>
      <c r="C110" s="78" t="s">
        <v>107</v>
      </c>
      <c r="D110" s="52">
        <v>1</v>
      </c>
      <c r="E110" s="10" t="s">
        <v>26</v>
      </c>
      <c r="F110" s="8">
        <v>300</v>
      </c>
      <c r="G110" s="8">
        <v>150</v>
      </c>
      <c r="H110" s="8">
        <f t="shared" si="4"/>
        <v>450</v>
      </c>
      <c r="I110" s="8">
        <f t="shared" si="5"/>
        <v>450</v>
      </c>
      <c r="J110" s="53"/>
    </row>
    <row r="111" spans="1:10" s="11" customFormat="1" ht="15.75" x14ac:dyDescent="0.25">
      <c r="A111" s="51">
        <f>IF(D111=0,"",1+MAX(A$9:A110))</f>
        <v>93</v>
      </c>
      <c r="B111" s="12"/>
      <c r="C111" s="78" t="s">
        <v>117</v>
      </c>
      <c r="D111" s="52">
        <v>1</v>
      </c>
      <c r="E111" s="10" t="s">
        <v>26</v>
      </c>
      <c r="F111" s="8">
        <v>280</v>
      </c>
      <c r="G111" s="8">
        <v>140</v>
      </c>
      <c r="H111" s="8">
        <f t="shared" si="4"/>
        <v>420</v>
      </c>
      <c r="I111" s="8">
        <f t="shared" si="5"/>
        <v>420</v>
      </c>
      <c r="J111" s="53"/>
    </row>
    <row r="112" spans="1:10" s="11" customFormat="1" ht="15.75" x14ac:dyDescent="0.25">
      <c r="A112" s="51">
        <f>IF(D112=0,"",1+MAX(A$9:A111))</f>
        <v>94</v>
      </c>
      <c r="B112" s="12"/>
      <c r="C112" s="9" t="s">
        <v>101</v>
      </c>
      <c r="D112" s="52">
        <v>220.23</v>
      </c>
      <c r="E112" s="10" t="s">
        <v>64</v>
      </c>
      <c r="F112" s="8">
        <v>15</v>
      </c>
      <c r="G112" s="8">
        <v>10</v>
      </c>
      <c r="H112" s="8">
        <f t="shared" si="4"/>
        <v>25</v>
      </c>
      <c r="I112" s="8">
        <f t="shared" si="5"/>
        <v>5505.75</v>
      </c>
      <c r="J112" s="53"/>
    </row>
    <row r="113" spans="1:10" s="11" customFormat="1" ht="15.75" x14ac:dyDescent="0.25">
      <c r="A113" s="51">
        <f>IF(D113=0,"",1+MAX(A$9:A112))</f>
        <v>95</v>
      </c>
      <c r="B113" s="12"/>
      <c r="C113" s="78" t="s">
        <v>102</v>
      </c>
      <c r="D113" s="52">
        <v>12</v>
      </c>
      <c r="E113" s="10" t="s">
        <v>26</v>
      </c>
      <c r="F113" s="8">
        <v>200</v>
      </c>
      <c r="G113" s="8">
        <v>100</v>
      </c>
      <c r="H113" s="8">
        <f t="shared" si="4"/>
        <v>300</v>
      </c>
      <c r="I113" s="8">
        <f t="shared" si="5"/>
        <v>3600</v>
      </c>
      <c r="J113" s="53"/>
    </row>
    <row r="114" spans="1:10" s="11" customFormat="1" ht="15.75" x14ac:dyDescent="0.25">
      <c r="A114" s="51">
        <f>IF(D114=0,"",1+MAX(A$9:A113))</f>
        <v>96</v>
      </c>
      <c r="B114" s="12"/>
      <c r="C114" s="78" t="s">
        <v>65</v>
      </c>
      <c r="D114" s="52">
        <v>1</v>
      </c>
      <c r="E114" s="10" t="s">
        <v>26</v>
      </c>
      <c r="F114" s="8">
        <v>80</v>
      </c>
      <c r="G114" s="8">
        <v>50</v>
      </c>
      <c r="H114" s="8">
        <f t="shared" si="4"/>
        <v>130</v>
      </c>
      <c r="I114" s="8">
        <f t="shared" si="5"/>
        <v>130</v>
      </c>
      <c r="J114" s="53"/>
    </row>
    <row r="115" spans="1:10" s="11" customFormat="1" ht="15.75" x14ac:dyDescent="0.25">
      <c r="A115" s="51">
        <f>IF(D115=0,"",1+MAX(A$9:A114))</f>
        <v>97</v>
      </c>
      <c r="B115" s="12"/>
      <c r="C115" s="9" t="s">
        <v>94</v>
      </c>
      <c r="D115" s="52">
        <v>2</v>
      </c>
      <c r="E115" s="10" t="s">
        <v>26</v>
      </c>
      <c r="F115" s="8">
        <v>300</v>
      </c>
      <c r="G115" s="8">
        <v>150</v>
      </c>
      <c r="H115" s="8">
        <f t="shared" si="4"/>
        <v>450</v>
      </c>
      <c r="I115" s="8">
        <f t="shared" si="5"/>
        <v>900</v>
      </c>
      <c r="J115" s="53"/>
    </row>
    <row r="116" spans="1:10" s="11" customFormat="1" ht="15.75" x14ac:dyDescent="0.25">
      <c r="A116" s="51">
        <f>IF(D116=0,"",1+MAX(A$9:A115))</f>
        <v>98</v>
      </c>
      <c r="B116" s="12"/>
      <c r="C116" s="78" t="s">
        <v>112</v>
      </c>
      <c r="D116" s="52">
        <v>11</v>
      </c>
      <c r="E116" s="10" t="s">
        <v>26</v>
      </c>
      <c r="F116" s="8">
        <v>290</v>
      </c>
      <c r="G116" s="8">
        <v>150</v>
      </c>
      <c r="H116" s="8">
        <f t="shared" si="4"/>
        <v>440</v>
      </c>
      <c r="I116" s="8">
        <f t="shared" si="5"/>
        <v>4840</v>
      </c>
      <c r="J116" s="53"/>
    </row>
    <row r="117" spans="1:10" s="11" customFormat="1" ht="15.75" x14ac:dyDescent="0.25">
      <c r="A117" s="51">
        <f>IF(D117=0,"",1+MAX(A$9:A116))</f>
        <v>99</v>
      </c>
      <c r="B117" s="12"/>
      <c r="C117" s="78" t="s">
        <v>66</v>
      </c>
      <c r="D117" s="52">
        <v>3</v>
      </c>
      <c r="E117" s="10" t="s">
        <v>26</v>
      </c>
      <c r="F117" s="8">
        <v>300</v>
      </c>
      <c r="G117" s="8">
        <v>150</v>
      </c>
      <c r="H117" s="8">
        <f t="shared" si="4"/>
        <v>450</v>
      </c>
      <c r="I117" s="8">
        <f t="shared" si="5"/>
        <v>1350</v>
      </c>
      <c r="J117" s="53"/>
    </row>
    <row r="118" spans="1:10" s="11" customFormat="1" ht="15.75" x14ac:dyDescent="0.25">
      <c r="A118" s="51" t="str">
        <f>IF(D118=0,"",1+MAX(A$9:A117))</f>
        <v/>
      </c>
      <c r="B118" s="12"/>
      <c r="C118" s="80" t="s">
        <v>68</v>
      </c>
      <c r="D118" s="52"/>
      <c r="E118" s="10"/>
      <c r="F118" s="8"/>
      <c r="G118" s="8"/>
      <c r="H118" s="8"/>
      <c r="I118" s="8"/>
      <c r="J118" s="53"/>
    </row>
    <row r="119" spans="1:10" s="11" customFormat="1" ht="15.75" x14ac:dyDescent="0.25">
      <c r="A119" s="51">
        <f>IF(D119=0,"",1+MAX(A$9:A118))</f>
        <v>100</v>
      </c>
      <c r="B119" s="12"/>
      <c r="C119" s="9" t="s">
        <v>96</v>
      </c>
      <c r="D119" s="52">
        <v>10</v>
      </c>
      <c r="E119" s="10" t="s">
        <v>26</v>
      </c>
      <c r="F119" s="8">
        <v>300</v>
      </c>
      <c r="G119" s="8">
        <v>150</v>
      </c>
      <c r="H119" s="8">
        <f t="shared" si="4"/>
        <v>450</v>
      </c>
      <c r="I119" s="8">
        <f t="shared" si="5"/>
        <v>4500</v>
      </c>
      <c r="J119" s="53"/>
    </row>
    <row r="120" spans="1:10" s="11" customFormat="1" ht="15.75" x14ac:dyDescent="0.25">
      <c r="A120" s="51">
        <f>IF(D120=0,"",1+MAX(A$9:A119))</f>
        <v>101</v>
      </c>
      <c r="B120" s="12"/>
      <c r="C120" s="9" t="s">
        <v>105</v>
      </c>
      <c r="D120" s="52">
        <v>6</v>
      </c>
      <c r="E120" s="10" t="s">
        <v>26</v>
      </c>
      <c r="F120" s="8">
        <v>290</v>
      </c>
      <c r="G120" s="8">
        <v>150</v>
      </c>
      <c r="H120" s="8">
        <f t="shared" si="4"/>
        <v>440</v>
      </c>
      <c r="I120" s="8">
        <f t="shared" si="5"/>
        <v>2640</v>
      </c>
      <c r="J120" s="53"/>
    </row>
    <row r="121" spans="1:10" s="11" customFormat="1" ht="15.75" x14ac:dyDescent="0.25">
      <c r="A121" s="51">
        <f>IF(D121=0,"",1+MAX(A$9:A120))</f>
        <v>102</v>
      </c>
      <c r="B121" s="12"/>
      <c r="C121" s="78" t="s">
        <v>107</v>
      </c>
      <c r="D121" s="52">
        <v>4</v>
      </c>
      <c r="E121" s="10" t="s">
        <v>26</v>
      </c>
      <c r="F121" s="8">
        <v>300</v>
      </c>
      <c r="G121" s="8">
        <v>150</v>
      </c>
      <c r="H121" s="8">
        <f t="shared" si="4"/>
        <v>450</v>
      </c>
      <c r="I121" s="8">
        <f t="shared" si="5"/>
        <v>1800</v>
      </c>
      <c r="J121" s="53"/>
    </row>
    <row r="122" spans="1:10" s="11" customFormat="1" ht="15.75" x14ac:dyDescent="0.25">
      <c r="A122" s="51">
        <f>IF(D122=0,"",1+MAX(A$9:A121))</f>
        <v>103</v>
      </c>
      <c r="B122" s="12"/>
      <c r="C122" s="9" t="s">
        <v>97</v>
      </c>
      <c r="D122" s="52">
        <v>5</v>
      </c>
      <c r="E122" s="10" t="s">
        <v>26</v>
      </c>
      <c r="F122" s="8">
        <v>320</v>
      </c>
      <c r="G122" s="8">
        <v>150</v>
      </c>
      <c r="H122" s="8">
        <f t="shared" si="4"/>
        <v>470</v>
      </c>
      <c r="I122" s="8">
        <f t="shared" si="5"/>
        <v>2350</v>
      </c>
      <c r="J122" s="53"/>
    </row>
    <row r="123" spans="1:10" s="11" customFormat="1" ht="15.75" x14ac:dyDescent="0.25">
      <c r="A123" s="51">
        <f>IF(D123=0,"",1+MAX(A$9:A122))</f>
        <v>104</v>
      </c>
      <c r="B123" s="12"/>
      <c r="C123" s="84" t="s">
        <v>92</v>
      </c>
      <c r="D123" s="82">
        <v>4</v>
      </c>
      <c r="E123" s="83" t="s">
        <v>26</v>
      </c>
      <c r="F123" s="85">
        <v>280</v>
      </c>
      <c r="G123" s="8">
        <v>140</v>
      </c>
      <c r="H123" s="8">
        <f t="shared" si="4"/>
        <v>420</v>
      </c>
      <c r="I123" s="8">
        <f t="shared" si="5"/>
        <v>1680</v>
      </c>
      <c r="J123" s="53"/>
    </row>
    <row r="124" spans="1:10" s="11" customFormat="1" ht="15.75" x14ac:dyDescent="0.25">
      <c r="A124" s="51">
        <f>IF(D124=0,"",1+MAX(A$9:A123))</f>
        <v>105</v>
      </c>
      <c r="B124" s="12"/>
      <c r="C124" s="81" t="s">
        <v>98</v>
      </c>
      <c r="D124" s="82">
        <v>2</v>
      </c>
      <c r="E124" s="83" t="s">
        <v>26</v>
      </c>
      <c r="F124" s="85">
        <v>300</v>
      </c>
      <c r="G124" s="8">
        <v>150</v>
      </c>
      <c r="H124" s="8">
        <f t="shared" si="4"/>
        <v>450</v>
      </c>
      <c r="I124" s="8">
        <f t="shared" si="5"/>
        <v>900</v>
      </c>
      <c r="J124" s="53"/>
    </row>
    <row r="125" spans="1:10" s="11" customFormat="1" ht="15.75" x14ac:dyDescent="0.25">
      <c r="A125" s="51">
        <f>IF(D125=0,"",1+MAX(A$9:A124))</f>
        <v>106</v>
      </c>
      <c r="B125" s="12"/>
      <c r="C125" s="81" t="s">
        <v>72</v>
      </c>
      <c r="D125" s="82">
        <v>3</v>
      </c>
      <c r="E125" s="83" t="s">
        <v>26</v>
      </c>
      <c r="F125" s="85">
        <v>300</v>
      </c>
      <c r="G125" s="8">
        <v>150</v>
      </c>
      <c r="H125" s="8">
        <f t="shared" si="4"/>
        <v>450</v>
      </c>
      <c r="I125" s="8">
        <f t="shared" si="5"/>
        <v>1350</v>
      </c>
      <c r="J125" s="53"/>
    </row>
    <row r="126" spans="1:10" s="11" customFormat="1" ht="15.75" x14ac:dyDescent="0.25">
      <c r="A126" s="51">
        <f>IF(D126=0,"",1+MAX(A$9:A125))</f>
        <v>107</v>
      </c>
      <c r="B126" s="12"/>
      <c r="C126" s="81" t="s">
        <v>108</v>
      </c>
      <c r="D126" s="82">
        <v>31</v>
      </c>
      <c r="E126" s="83" t="s">
        <v>26</v>
      </c>
      <c r="F126" s="85">
        <v>200</v>
      </c>
      <c r="G126" s="8">
        <v>100</v>
      </c>
      <c r="H126" s="8">
        <f t="shared" si="4"/>
        <v>300</v>
      </c>
      <c r="I126" s="8">
        <f t="shared" si="5"/>
        <v>9300</v>
      </c>
      <c r="J126" s="53"/>
    </row>
    <row r="127" spans="1:10" s="11" customFormat="1" ht="15.75" x14ac:dyDescent="0.25">
      <c r="A127" s="51">
        <f>IF(D127=0,"",1+MAX(A$9:A126))</f>
        <v>108</v>
      </c>
      <c r="B127" s="12"/>
      <c r="C127" s="9" t="s">
        <v>62</v>
      </c>
      <c r="D127" s="52">
        <v>1</v>
      </c>
      <c r="E127" s="10" t="s">
        <v>26</v>
      </c>
      <c r="F127" s="8">
        <v>70</v>
      </c>
      <c r="G127" s="8">
        <v>50</v>
      </c>
      <c r="H127" s="8">
        <f t="shared" si="4"/>
        <v>120</v>
      </c>
      <c r="I127" s="8">
        <f t="shared" si="5"/>
        <v>120</v>
      </c>
      <c r="J127" s="53"/>
    </row>
    <row r="128" spans="1:10" s="11" customFormat="1" ht="15.75" x14ac:dyDescent="0.25">
      <c r="A128" s="51" t="str">
        <f>IF(D128=0,"",1+MAX(A$9:A127))</f>
        <v/>
      </c>
      <c r="B128" s="12"/>
      <c r="C128" s="80" t="s">
        <v>69</v>
      </c>
      <c r="D128" s="52"/>
      <c r="E128" s="10"/>
      <c r="F128" s="8"/>
      <c r="G128" s="8"/>
      <c r="H128" s="8"/>
      <c r="I128" s="8"/>
      <c r="J128" s="53"/>
    </row>
    <row r="129" spans="1:10" s="11" customFormat="1" ht="15.75" x14ac:dyDescent="0.25">
      <c r="A129" s="51">
        <f>IF(D129=0,"",1+MAX(A$9:A128))</f>
        <v>109</v>
      </c>
      <c r="B129" s="12"/>
      <c r="C129" s="9" t="s">
        <v>96</v>
      </c>
      <c r="D129" s="52">
        <v>10</v>
      </c>
      <c r="E129" s="10" t="s">
        <v>26</v>
      </c>
      <c r="F129" s="8">
        <v>300</v>
      </c>
      <c r="G129" s="8">
        <v>150</v>
      </c>
      <c r="H129" s="8">
        <f t="shared" si="4"/>
        <v>450</v>
      </c>
      <c r="I129" s="8">
        <f t="shared" si="5"/>
        <v>4500</v>
      </c>
      <c r="J129" s="53"/>
    </row>
    <row r="130" spans="1:10" s="11" customFormat="1" ht="15.75" x14ac:dyDescent="0.25">
      <c r="A130" s="51">
        <f>IF(D130=0,"",1+MAX(A$9:A129))</f>
        <v>110</v>
      </c>
      <c r="B130" s="12"/>
      <c r="C130" s="9" t="s">
        <v>105</v>
      </c>
      <c r="D130" s="52">
        <v>5</v>
      </c>
      <c r="E130" s="10" t="s">
        <v>26</v>
      </c>
      <c r="F130" s="8">
        <v>290</v>
      </c>
      <c r="G130" s="8">
        <v>150</v>
      </c>
      <c r="H130" s="8">
        <f t="shared" si="4"/>
        <v>440</v>
      </c>
      <c r="I130" s="8">
        <f t="shared" si="5"/>
        <v>2200</v>
      </c>
      <c r="J130" s="53"/>
    </row>
    <row r="131" spans="1:10" s="11" customFormat="1" ht="15.75" x14ac:dyDescent="0.25">
      <c r="A131" s="51">
        <f>IF(D131=0,"",1+MAX(A$9:A130))</f>
        <v>111</v>
      </c>
      <c r="B131" s="12"/>
      <c r="C131" s="78" t="s">
        <v>107</v>
      </c>
      <c r="D131" s="52">
        <v>4</v>
      </c>
      <c r="E131" s="10" t="s">
        <v>26</v>
      </c>
      <c r="F131" s="8">
        <v>300</v>
      </c>
      <c r="G131" s="8">
        <v>150</v>
      </c>
      <c r="H131" s="8">
        <f t="shared" si="4"/>
        <v>450</v>
      </c>
      <c r="I131" s="8">
        <f t="shared" si="5"/>
        <v>1800</v>
      </c>
      <c r="J131" s="53"/>
    </row>
    <row r="132" spans="1:10" s="11" customFormat="1" ht="15.75" x14ac:dyDescent="0.25">
      <c r="A132" s="51">
        <f>IF(D132=0,"",1+MAX(A$9:A131))</f>
        <v>112</v>
      </c>
      <c r="B132" s="12"/>
      <c r="C132" s="9" t="s">
        <v>97</v>
      </c>
      <c r="D132" s="52">
        <v>7</v>
      </c>
      <c r="E132" s="10" t="s">
        <v>26</v>
      </c>
      <c r="F132" s="8">
        <v>320</v>
      </c>
      <c r="G132" s="8">
        <v>150</v>
      </c>
      <c r="H132" s="8">
        <f t="shared" si="4"/>
        <v>470</v>
      </c>
      <c r="I132" s="8">
        <f t="shared" si="5"/>
        <v>3290</v>
      </c>
      <c r="J132" s="53"/>
    </row>
    <row r="133" spans="1:10" s="11" customFormat="1" ht="15.75" x14ac:dyDescent="0.25">
      <c r="A133" s="51">
        <f>IF(D133=0,"",1+MAX(A$9:A132))</f>
        <v>113</v>
      </c>
      <c r="B133" s="12"/>
      <c r="C133" s="78" t="s">
        <v>92</v>
      </c>
      <c r="D133" s="52">
        <v>4</v>
      </c>
      <c r="E133" s="10" t="s">
        <v>26</v>
      </c>
      <c r="F133" s="8">
        <v>280</v>
      </c>
      <c r="G133" s="8">
        <v>140</v>
      </c>
      <c r="H133" s="8">
        <f t="shared" si="4"/>
        <v>420</v>
      </c>
      <c r="I133" s="8">
        <f t="shared" si="5"/>
        <v>1680</v>
      </c>
      <c r="J133" s="53"/>
    </row>
    <row r="134" spans="1:10" s="11" customFormat="1" ht="15.75" x14ac:dyDescent="0.25">
      <c r="A134" s="51">
        <f>IF(D134=0,"",1+MAX(A$9:A133))</f>
        <v>114</v>
      </c>
      <c r="B134" s="12"/>
      <c r="C134" s="81" t="s">
        <v>98</v>
      </c>
      <c r="D134" s="82">
        <v>3</v>
      </c>
      <c r="E134" s="83" t="s">
        <v>26</v>
      </c>
      <c r="F134" s="8">
        <v>300</v>
      </c>
      <c r="G134" s="8">
        <v>150</v>
      </c>
      <c r="H134" s="8">
        <f t="shared" si="4"/>
        <v>450</v>
      </c>
      <c r="I134" s="8">
        <f t="shared" si="5"/>
        <v>1350</v>
      </c>
      <c r="J134" s="53"/>
    </row>
    <row r="135" spans="1:10" s="11" customFormat="1" ht="15.75" x14ac:dyDescent="0.25">
      <c r="A135" s="51">
        <f>IF(D135=0,"",1+MAX(A$9:A134))</f>
        <v>115</v>
      </c>
      <c r="B135" s="12"/>
      <c r="C135" s="81" t="s">
        <v>72</v>
      </c>
      <c r="D135" s="82">
        <v>3</v>
      </c>
      <c r="E135" s="83" t="s">
        <v>26</v>
      </c>
      <c r="F135" s="8">
        <v>300</v>
      </c>
      <c r="G135" s="8">
        <v>150</v>
      </c>
      <c r="H135" s="8">
        <f t="shared" si="4"/>
        <v>450</v>
      </c>
      <c r="I135" s="8">
        <f t="shared" si="5"/>
        <v>1350</v>
      </c>
      <c r="J135" s="53"/>
    </row>
    <row r="136" spans="1:10" s="11" customFormat="1" ht="15.75" x14ac:dyDescent="0.25">
      <c r="A136" s="51">
        <f>IF(D136=0,"",1+MAX(A$9:A135))</f>
        <v>116</v>
      </c>
      <c r="B136" s="12"/>
      <c r="C136" s="81" t="s">
        <v>108</v>
      </c>
      <c r="D136" s="82">
        <v>31</v>
      </c>
      <c r="E136" s="83" t="s">
        <v>26</v>
      </c>
      <c r="F136" s="8">
        <v>200</v>
      </c>
      <c r="G136" s="8">
        <v>100</v>
      </c>
      <c r="H136" s="8">
        <f t="shared" si="4"/>
        <v>300</v>
      </c>
      <c r="I136" s="8">
        <f t="shared" si="5"/>
        <v>9300</v>
      </c>
      <c r="J136" s="53"/>
    </row>
    <row r="137" spans="1:10" s="11" customFormat="1" ht="15.75" x14ac:dyDescent="0.25">
      <c r="A137" s="51">
        <f>IF(D137=0,"",1+MAX(A$9:A136))</f>
        <v>117</v>
      </c>
      <c r="B137" s="12"/>
      <c r="C137" s="9" t="s">
        <v>62</v>
      </c>
      <c r="D137" s="52">
        <v>1</v>
      </c>
      <c r="E137" s="10" t="s">
        <v>26</v>
      </c>
      <c r="F137" s="8">
        <v>70</v>
      </c>
      <c r="G137" s="8">
        <v>50</v>
      </c>
      <c r="H137" s="8">
        <f t="shared" si="4"/>
        <v>120</v>
      </c>
      <c r="I137" s="8">
        <f t="shared" si="5"/>
        <v>120</v>
      </c>
      <c r="J137" s="53"/>
    </row>
    <row r="138" spans="1:10" s="11" customFormat="1" ht="15.75" x14ac:dyDescent="0.25">
      <c r="A138" s="51" t="str">
        <f>IF(D138=0,"",1+MAX(A$9:A137))</f>
        <v/>
      </c>
      <c r="B138" s="12"/>
      <c r="C138" s="80" t="s">
        <v>70</v>
      </c>
      <c r="D138" s="52"/>
      <c r="E138" s="10"/>
      <c r="F138" s="8"/>
      <c r="G138" s="8"/>
      <c r="H138" s="8"/>
      <c r="I138" s="8"/>
      <c r="J138" s="53"/>
    </row>
    <row r="139" spans="1:10" s="11" customFormat="1" ht="15.75" x14ac:dyDescent="0.25">
      <c r="A139" s="51">
        <f>IF(D139=0,"",1+MAX(A$9:A138))</f>
        <v>118</v>
      </c>
      <c r="B139" s="12"/>
      <c r="C139" s="9" t="s">
        <v>62</v>
      </c>
      <c r="D139" s="52">
        <v>1</v>
      </c>
      <c r="E139" s="10" t="s">
        <v>26</v>
      </c>
      <c r="F139" s="8">
        <v>70</v>
      </c>
      <c r="G139" s="8">
        <v>50</v>
      </c>
      <c r="H139" s="8">
        <f t="shared" si="4"/>
        <v>120</v>
      </c>
      <c r="I139" s="8">
        <f t="shared" si="5"/>
        <v>120</v>
      </c>
      <c r="J139" s="53"/>
    </row>
    <row r="140" spans="1:10" s="11" customFormat="1" ht="15.75" x14ac:dyDescent="0.25">
      <c r="A140" s="51">
        <f>IF(D140=0,"",1+MAX(A$9:A139))</f>
        <v>119</v>
      </c>
      <c r="B140" s="12"/>
      <c r="C140" s="9" t="s">
        <v>108</v>
      </c>
      <c r="D140" s="52">
        <v>31</v>
      </c>
      <c r="E140" s="10" t="s">
        <v>26</v>
      </c>
      <c r="F140" s="8">
        <v>200</v>
      </c>
      <c r="G140" s="8">
        <v>100</v>
      </c>
      <c r="H140" s="8">
        <f t="shared" si="4"/>
        <v>300</v>
      </c>
      <c r="I140" s="8">
        <f t="shared" si="5"/>
        <v>9300</v>
      </c>
      <c r="J140" s="53"/>
    </row>
    <row r="141" spans="1:10" s="11" customFormat="1" ht="15.75" x14ac:dyDescent="0.25">
      <c r="A141" s="51">
        <f>IF(D141=0,"",1+MAX(A$9:A140))</f>
        <v>120</v>
      </c>
      <c r="B141" s="12"/>
      <c r="C141" s="9" t="s">
        <v>96</v>
      </c>
      <c r="D141" s="52">
        <v>10</v>
      </c>
      <c r="E141" s="10" t="s">
        <v>26</v>
      </c>
      <c r="F141" s="8">
        <v>300</v>
      </c>
      <c r="G141" s="8">
        <v>150</v>
      </c>
      <c r="H141" s="8">
        <f t="shared" si="4"/>
        <v>450</v>
      </c>
      <c r="I141" s="8">
        <f t="shared" si="5"/>
        <v>4500</v>
      </c>
      <c r="J141" s="53"/>
    </row>
    <row r="142" spans="1:10" s="11" customFormat="1" ht="15.75" x14ac:dyDescent="0.25">
      <c r="A142" s="51">
        <f>IF(D142=0,"",1+MAX(A$9:A141))</f>
        <v>121</v>
      </c>
      <c r="B142" s="12"/>
      <c r="C142" s="78" t="s">
        <v>107</v>
      </c>
      <c r="D142" s="52">
        <v>4</v>
      </c>
      <c r="E142" s="10" t="s">
        <v>26</v>
      </c>
      <c r="F142" s="8">
        <v>300</v>
      </c>
      <c r="G142" s="8">
        <v>150</v>
      </c>
      <c r="H142" s="8">
        <f t="shared" si="4"/>
        <v>450</v>
      </c>
      <c r="I142" s="8">
        <f t="shared" si="5"/>
        <v>1800</v>
      </c>
      <c r="J142" s="53"/>
    </row>
    <row r="143" spans="1:10" s="11" customFormat="1" ht="15.75" x14ac:dyDescent="0.25">
      <c r="A143" s="51">
        <f>IF(D143=0,"",1+MAX(A$9:A142))</f>
        <v>122</v>
      </c>
      <c r="B143" s="12"/>
      <c r="C143" s="81" t="s">
        <v>97</v>
      </c>
      <c r="D143" s="82">
        <v>7</v>
      </c>
      <c r="E143" s="83" t="s">
        <v>26</v>
      </c>
      <c r="F143" s="8">
        <v>320</v>
      </c>
      <c r="G143" s="8">
        <v>150</v>
      </c>
      <c r="H143" s="8">
        <f t="shared" si="4"/>
        <v>470</v>
      </c>
      <c r="I143" s="8">
        <f t="shared" si="5"/>
        <v>3290</v>
      </c>
      <c r="J143" s="53"/>
    </row>
    <row r="144" spans="1:10" s="11" customFormat="1" ht="15.75" x14ac:dyDescent="0.25">
      <c r="A144" s="51">
        <f>IF(D144=0,"",1+MAX(A$9:A143))</f>
        <v>123</v>
      </c>
      <c r="B144" s="12"/>
      <c r="C144" s="81" t="s">
        <v>72</v>
      </c>
      <c r="D144" s="82">
        <v>3</v>
      </c>
      <c r="E144" s="83" t="s">
        <v>26</v>
      </c>
      <c r="F144" s="8">
        <v>300</v>
      </c>
      <c r="G144" s="8">
        <v>150</v>
      </c>
      <c r="H144" s="8">
        <f t="shared" si="4"/>
        <v>450</v>
      </c>
      <c r="I144" s="8">
        <f t="shared" si="5"/>
        <v>1350</v>
      </c>
      <c r="J144" s="53"/>
    </row>
    <row r="145" spans="1:10" s="11" customFormat="1" ht="15.75" x14ac:dyDescent="0.25">
      <c r="A145" s="51">
        <f>IF(D145=0,"",1+MAX(A$9:A144))</f>
        <v>124</v>
      </c>
      <c r="B145" s="12"/>
      <c r="C145" s="81" t="s">
        <v>98</v>
      </c>
      <c r="D145" s="82">
        <v>2</v>
      </c>
      <c r="E145" s="83" t="s">
        <v>26</v>
      </c>
      <c r="F145" s="8">
        <v>300</v>
      </c>
      <c r="G145" s="8">
        <v>150</v>
      </c>
      <c r="H145" s="8">
        <f t="shared" si="4"/>
        <v>450</v>
      </c>
      <c r="I145" s="8">
        <f t="shared" si="5"/>
        <v>900</v>
      </c>
      <c r="J145" s="53"/>
    </row>
    <row r="146" spans="1:10" s="11" customFormat="1" ht="15.75" x14ac:dyDescent="0.25">
      <c r="A146" s="51">
        <f>IF(D146=0,"",1+MAX(A$9:A145))</f>
        <v>125</v>
      </c>
      <c r="B146" s="12"/>
      <c r="C146" s="78" t="s">
        <v>92</v>
      </c>
      <c r="D146" s="52">
        <v>4</v>
      </c>
      <c r="E146" s="10" t="s">
        <v>26</v>
      </c>
      <c r="F146" s="8">
        <v>280</v>
      </c>
      <c r="G146" s="8">
        <v>140</v>
      </c>
      <c r="H146" s="8">
        <f t="shared" si="4"/>
        <v>420</v>
      </c>
      <c r="I146" s="8">
        <f t="shared" si="5"/>
        <v>1680</v>
      </c>
      <c r="J146" s="53"/>
    </row>
    <row r="147" spans="1:10" s="11" customFormat="1" ht="15.75" x14ac:dyDescent="0.25">
      <c r="A147" s="51">
        <f>IF(D147=0,"",1+MAX(A$9:A146))</f>
        <v>126</v>
      </c>
      <c r="B147" s="12"/>
      <c r="C147" s="9" t="s">
        <v>105</v>
      </c>
      <c r="D147" s="52">
        <v>5</v>
      </c>
      <c r="E147" s="10" t="s">
        <v>26</v>
      </c>
      <c r="F147" s="8">
        <v>290</v>
      </c>
      <c r="G147" s="8">
        <v>150</v>
      </c>
      <c r="H147" s="8">
        <f t="shared" si="4"/>
        <v>440</v>
      </c>
      <c r="I147" s="8">
        <f t="shared" si="5"/>
        <v>2200</v>
      </c>
      <c r="J147" s="53"/>
    </row>
    <row r="148" spans="1:10" s="11" customFormat="1" ht="15.75" x14ac:dyDescent="0.25">
      <c r="A148" s="51" t="str">
        <f>IF(D148=0,"",1+MAX(A$9:A147))</f>
        <v/>
      </c>
      <c r="B148" s="12"/>
      <c r="C148" s="79" t="s">
        <v>75</v>
      </c>
      <c r="D148" s="52"/>
      <c r="E148" s="10"/>
      <c r="F148" s="8"/>
      <c r="G148" s="8"/>
      <c r="H148" s="8"/>
      <c r="I148" s="8"/>
      <c r="J148" s="53"/>
    </row>
    <row r="149" spans="1:10" s="11" customFormat="1" ht="15.75" x14ac:dyDescent="0.25">
      <c r="A149" s="51">
        <f>IF(D149=0,"",1+MAX(A$9:A148))</f>
        <v>127</v>
      </c>
      <c r="B149" s="12"/>
      <c r="C149" s="9" t="s">
        <v>44</v>
      </c>
      <c r="D149" s="52">
        <v>158</v>
      </c>
      <c r="E149" s="10" t="s">
        <v>26</v>
      </c>
      <c r="F149" s="8">
        <v>150</v>
      </c>
      <c r="G149" s="8">
        <v>100</v>
      </c>
      <c r="H149" s="8">
        <f t="shared" ref="H149:H211" si="6">F149+G149</f>
        <v>250</v>
      </c>
      <c r="I149" s="8">
        <f t="shared" ref="I149:I211" si="7">D149*H149</f>
        <v>39500</v>
      </c>
      <c r="J149" s="53"/>
    </row>
    <row r="150" spans="1:10" s="11" customFormat="1" ht="15.75" x14ac:dyDescent="0.25">
      <c r="A150" s="51">
        <f>IF(D150=0,"",1+MAX(A$9:A149))</f>
        <v>128</v>
      </c>
      <c r="B150" s="12"/>
      <c r="C150" s="9" t="s">
        <v>48</v>
      </c>
      <c r="D150" s="52">
        <v>316</v>
      </c>
      <c r="E150" s="10" t="s">
        <v>26</v>
      </c>
      <c r="F150" s="8">
        <v>200</v>
      </c>
      <c r="G150" s="8">
        <v>100</v>
      </c>
      <c r="H150" s="8">
        <f t="shared" si="6"/>
        <v>300</v>
      </c>
      <c r="I150" s="8">
        <f t="shared" si="7"/>
        <v>94800</v>
      </c>
      <c r="J150" s="53"/>
    </row>
    <row r="151" spans="1:10" s="11" customFormat="1" ht="15.75" x14ac:dyDescent="0.25">
      <c r="A151" s="51">
        <f>IF(D151=0,"",1+MAX(A$9:A150))</f>
        <v>129</v>
      </c>
      <c r="B151" s="12"/>
      <c r="C151" s="9" t="s">
        <v>76</v>
      </c>
      <c r="D151" s="52">
        <v>79</v>
      </c>
      <c r="E151" s="10" t="s">
        <v>26</v>
      </c>
      <c r="F151" s="8">
        <v>300</v>
      </c>
      <c r="G151" s="8">
        <v>150</v>
      </c>
      <c r="H151" s="8">
        <f t="shared" si="6"/>
        <v>450</v>
      </c>
      <c r="I151" s="8">
        <f t="shared" si="7"/>
        <v>35550</v>
      </c>
      <c r="J151" s="53"/>
    </row>
    <row r="152" spans="1:10" s="11" customFormat="1" ht="15.75" x14ac:dyDescent="0.25">
      <c r="A152" s="51">
        <f>IF(D152=0,"",1+MAX(A$9:A151))</f>
        <v>130</v>
      </c>
      <c r="B152" s="12"/>
      <c r="C152" s="9" t="s">
        <v>62</v>
      </c>
      <c r="D152" s="52">
        <v>316</v>
      </c>
      <c r="E152" s="10" t="s">
        <v>26</v>
      </c>
      <c r="F152" s="8">
        <v>70</v>
      </c>
      <c r="G152" s="8">
        <v>50</v>
      </c>
      <c r="H152" s="8">
        <f t="shared" si="6"/>
        <v>120</v>
      </c>
      <c r="I152" s="8">
        <f t="shared" si="7"/>
        <v>37920</v>
      </c>
      <c r="J152" s="53"/>
    </row>
    <row r="153" spans="1:10" s="11" customFormat="1" ht="15.75" x14ac:dyDescent="0.25">
      <c r="A153" s="51">
        <f>IF(D153=0,"",1+MAX(A$9:A152))</f>
        <v>131</v>
      </c>
      <c r="B153" s="12"/>
      <c r="C153" s="9" t="s">
        <v>28</v>
      </c>
      <c r="D153" s="52">
        <v>395</v>
      </c>
      <c r="E153" s="10" t="s">
        <v>26</v>
      </c>
      <c r="F153" s="8">
        <v>140</v>
      </c>
      <c r="G153" s="8">
        <v>90</v>
      </c>
      <c r="H153" s="8">
        <f t="shared" si="6"/>
        <v>230</v>
      </c>
      <c r="I153" s="8">
        <f t="shared" si="7"/>
        <v>90850</v>
      </c>
      <c r="J153" s="53"/>
    </row>
    <row r="154" spans="1:10" s="11" customFormat="1" ht="15.75" x14ac:dyDescent="0.25">
      <c r="A154" s="51">
        <f>IF(D154=0,"",1+MAX(A$9:A153))</f>
        <v>132</v>
      </c>
      <c r="B154" s="12"/>
      <c r="C154" s="9" t="s">
        <v>29</v>
      </c>
      <c r="D154" s="52">
        <v>553</v>
      </c>
      <c r="E154" s="10" t="s">
        <v>26</v>
      </c>
      <c r="F154" s="8">
        <v>140</v>
      </c>
      <c r="G154" s="8">
        <v>90</v>
      </c>
      <c r="H154" s="8">
        <f t="shared" si="6"/>
        <v>230</v>
      </c>
      <c r="I154" s="8">
        <f t="shared" si="7"/>
        <v>127190</v>
      </c>
      <c r="J154" s="53"/>
    </row>
    <row r="155" spans="1:10" s="11" customFormat="1" ht="15.75" x14ac:dyDescent="0.25">
      <c r="A155" s="51">
        <f>IF(D155=0,"",1+MAX(A$9:A154))</f>
        <v>133</v>
      </c>
      <c r="B155" s="12"/>
      <c r="C155" s="78" t="s">
        <v>27</v>
      </c>
      <c r="D155" s="52">
        <v>158</v>
      </c>
      <c r="E155" s="10" t="s">
        <v>26</v>
      </c>
      <c r="F155" s="8">
        <v>150</v>
      </c>
      <c r="G155" s="8">
        <v>100</v>
      </c>
      <c r="H155" s="8">
        <f t="shared" si="6"/>
        <v>250</v>
      </c>
      <c r="I155" s="8">
        <f t="shared" si="7"/>
        <v>39500</v>
      </c>
      <c r="J155" s="53"/>
    </row>
    <row r="156" spans="1:10" s="11" customFormat="1" ht="15.75" x14ac:dyDescent="0.25">
      <c r="A156" s="51">
        <f>IF(D156=0,"",1+MAX(A$9:A155))</f>
        <v>134</v>
      </c>
      <c r="B156" s="12"/>
      <c r="C156" s="78" t="s">
        <v>31</v>
      </c>
      <c r="D156" s="52">
        <v>79</v>
      </c>
      <c r="E156" s="10" t="s">
        <v>26</v>
      </c>
      <c r="F156" s="8">
        <v>200</v>
      </c>
      <c r="G156" s="8">
        <v>100</v>
      </c>
      <c r="H156" s="8">
        <f t="shared" si="6"/>
        <v>300</v>
      </c>
      <c r="I156" s="8">
        <f t="shared" si="7"/>
        <v>23700</v>
      </c>
      <c r="J156" s="53"/>
    </row>
    <row r="157" spans="1:10" s="11" customFormat="1" ht="15.75" x14ac:dyDescent="0.25">
      <c r="A157" s="51">
        <f>IF(D157=0,"",1+MAX(A$9:A156))</f>
        <v>135</v>
      </c>
      <c r="B157" s="12"/>
      <c r="C157" s="78" t="s">
        <v>43</v>
      </c>
      <c r="D157" s="52">
        <v>237</v>
      </c>
      <c r="E157" s="10" t="s">
        <v>26</v>
      </c>
      <c r="F157" s="8">
        <v>140</v>
      </c>
      <c r="G157" s="8">
        <v>90</v>
      </c>
      <c r="H157" s="8">
        <f t="shared" si="6"/>
        <v>230</v>
      </c>
      <c r="I157" s="8">
        <f t="shared" si="7"/>
        <v>54510</v>
      </c>
      <c r="J157" s="53"/>
    </row>
    <row r="158" spans="1:10" s="11" customFormat="1" ht="15.75" x14ac:dyDescent="0.25">
      <c r="A158" s="51">
        <f>IF(D158=0,"",1+MAX(A$9:A157))</f>
        <v>136</v>
      </c>
      <c r="B158" s="12"/>
      <c r="C158" s="78" t="s">
        <v>71</v>
      </c>
      <c r="D158" s="52">
        <v>79</v>
      </c>
      <c r="E158" s="10" t="s">
        <v>26</v>
      </c>
      <c r="F158" s="8">
        <v>200</v>
      </c>
      <c r="G158" s="8">
        <v>100</v>
      </c>
      <c r="H158" s="8">
        <f t="shared" si="6"/>
        <v>300</v>
      </c>
      <c r="I158" s="8">
        <f t="shared" si="7"/>
        <v>23700</v>
      </c>
      <c r="J158" s="53"/>
    </row>
    <row r="159" spans="1:10" s="11" customFormat="1" ht="15.75" x14ac:dyDescent="0.25">
      <c r="A159" s="51">
        <f>IF(D159=0,"",1+MAX(A$9:A158))</f>
        <v>137</v>
      </c>
      <c r="B159" s="12"/>
      <c r="C159" s="9" t="s">
        <v>72</v>
      </c>
      <c r="D159" s="52">
        <v>237</v>
      </c>
      <c r="E159" s="10" t="s">
        <v>26</v>
      </c>
      <c r="F159" s="8">
        <v>300</v>
      </c>
      <c r="G159" s="8">
        <v>150</v>
      </c>
      <c r="H159" s="8">
        <f t="shared" si="6"/>
        <v>450</v>
      </c>
      <c r="I159" s="8">
        <f t="shared" si="7"/>
        <v>106650</v>
      </c>
      <c r="J159" s="53"/>
    </row>
    <row r="160" spans="1:10" s="11" customFormat="1" ht="15.75" x14ac:dyDescent="0.25">
      <c r="A160" s="51">
        <f>IF(D160=0,"",1+MAX(A$9:A159))</f>
        <v>138</v>
      </c>
      <c r="B160" s="12"/>
      <c r="C160" s="9" t="s">
        <v>42</v>
      </c>
      <c r="D160" s="52">
        <v>79</v>
      </c>
      <c r="E160" s="10" t="s">
        <v>26</v>
      </c>
      <c r="F160" s="8">
        <v>150</v>
      </c>
      <c r="G160" s="8">
        <v>100</v>
      </c>
      <c r="H160" s="8">
        <f t="shared" si="6"/>
        <v>250</v>
      </c>
      <c r="I160" s="8">
        <f t="shared" si="7"/>
        <v>19750</v>
      </c>
      <c r="J160" s="53"/>
    </row>
    <row r="161" spans="1:10" s="11" customFormat="1" ht="15.75" x14ac:dyDescent="0.25">
      <c r="A161" s="51">
        <f>IF(D161=0,"",1+MAX(A$9:A160))</f>
        <v>139</v>
      </c>
      <c r="B161" s="12"/>
      <c r="C161" s="9" t="s">
        <v>73</v>
      </c>
      <c r="D161" s="52">
        <v>79</v>
      </c>
      <c r="E161" s="10" t="s">
        <v>26</v>
      </c>
      <c r="F161" s="8">
        <v>1600</v>
      </c>
      <c r="G161" s="8">
        <v>800</v>
      </c>
      <c r="H161" s="8">
        <f t="shared" si="6"/>
        <v>2400</v>
      </c>
      <c r="I161" s="8">
        <f t="shared" si="7"/>
        <v>189600</v>
      </c>
      <c r="J161" s="53"/>
    </row>
    <row r="162" spans="1:10" s="11" customFormat="1" ht="15.75" x14ac:dyDescent="0.25">
      <c r="A162" s="51">
        <f>IF(D162=0,"",1+MAX(A$9:A161))</f>
        <v>140</v>
      </c>
      <c r="B162" s="12"/>
      <c r="C162" s="9" t="s">
        <v>74</v>
      </c>
      <c r="D162" s="52">
        <v>79</v>
      </c>
      <c r="E162" s="10" t="s">
        <v>26</v>
      </c>
      <c r="F162" s="8">
        <v>300</v>
      </c>
      <c r="G162" s="8">
        <v>150</v>
      </c>
      <c r="H162" s="8">
        <f t="shared" si="6"/>
        <v>450</v>
      </c>
      <c r="I162" s="8">
        <f t="shared" si="7"/>
        <v>35550</v>
      </c>
      <c r="J162" s="53"/>
    </row>
    <row r="163" spans="1:10" s="11" customFormat="1" ht="15.75" x14ac:dyDescent="0.25">
      <c r="A163" s="51">
        <f>IF(D163=0,"",1+MAX(A$9:A162))</f>
        <v>141</v>
      </c>
      <c r="B163" s="12"/>
      <c r="C163" s="9" t="s">
        <v>66</v>
      </c>
      <c r="D163" s="52">
        <v>79</v>
      </c>
      <c r="E163" s="10" t="s">
        <v>26</v>
      </c>
      <c r="F163" s="8">
        <v>300</v>
      </c>
      <c r="G163" s="8">
        <v>150</v>
      </c>
      <c r="H163" s="8">
        <f t="shared" si="6"/>
        <v>450</v>
      </c>
      <c r="I163" s="8">
        <f t="shared" si="7"/>
        <v>35550</v>
      </c>
      <c r="J163" s="53"/>
    </row>
    <row r="164" spans="1:10" s="11" customFormat="1" ht="15.75" x14ac:dyDescent="0.25">
      <c r="A164" s="51" t="str">
        <f>IF(D164=0,"",1+MAX(A$9:A163))</f>
        <v/>
      </c>
      <c r="B164" s="12"/>
      <c r="C164" s="79" t="s">
        <v>84</v>
      </c>
      <c r="D164" s="52"/>
      <c r="E164" s="10"/>
      <c r="F164" s="8"/>
      <c r="G164" s="8"/>
      <c r="H164" s="8"/>
      <c r="I164" s="8"/>
      <c r="J164" s="53"/>
    </row>
    <row r="165" spans="1:10" s="11" customFormat="1" ht="15.75" x14ac:dyDescent="0.25">
      <c r="A165" s="51">
        <f>IF(D165=0,"",1+MAX(A$9:A164))</f>
        <v>142</v>
      </c>
      <c r="B165" s="12"/>
      <c r="C165" s="9" t="s">
        <v>28</v>
      </c>
      <c r="D165" s="52">
        <v>24</v>
      </c>
      <c r="E165" s="10" t="s">
        <v>26</v>
      </c>
      <c r="F165" s="8">
        <v>140</v>
      </c>
      <c r="G165" s="8">
        <v>90</v>
      </c>
      <c r="H165" s="8">
        <f t="shared" si="6"/>
        <v>230</v>
      </c>
      <c r="I165" s="8">
        <f t="shared" si="7"/>
        <v>5520</v>
      </c>
      <c r="J165" s="53"/>
    </row>
    <row r="166" spans="1:10" s="11" customFormat="1" ht="15.75" x14ac:dyDescent="0.25">
      <c r="A166" s="51">
        <f>IF(D166=0,"",1+MAX(A$9:A165))</f>
        <v>143</v>
      </c>
      <c r="B166" s="12"/>
      <c r="C166" s="9" t="s">
        <v>62</v>
      </c>
      <c r="D166" s="52">
        <v>24</v>
      </c>
      <c r="E166" s="10" t="s">
        <v>26</v>
      </c>
      <c r="F166" s="8">
        <v>70</v>
      </c>
      <c r="G166" s="8">
        <v>50</v>
      </c>
      <c r="H166" s="8">
        <f t="shared" si="6"/>
        <v>120</v>
      </c>
      <c r="I166" s="8">
        <f t="shared" si="7"/>
        <v>2880</v>
      </c>
      <c r="J166" s="53"/>
    </row>
    <row r="167" spans="1:10" s="11" customFormat="1" ht="15.75" x14ac:dyDescent="0.25">
      <c r="A167" s="51">
        <f>IF(D167=0,"",1+MAX(A$9:A166))</f>
        <v>144</v>
      </c>
      <c r="B167" s="12"/>
      <c r="C167" s="9" t="s">
        <v>29</v>
      </c>
      <c r="D167" s="52">
        <v>28</v>
      </c>
      <c r="E167" s="10" t="s">
        <v>26</v>
      </c>
      <c r="F167" s="8">
        <v>140</v>
      </c>
      <c r="G167" s="8">
        <v>90</v>
      </c>
      <c r="H167" s="8">
        <f t="shared" si="6"/>
        <v>230</v>
      </c>
      <c r="I167" s="8">
        <f t="shared" si="7"/>
        <v>6440</v>
      </c>
      <c r="J167" s="53"/>
    </row>
    <row r="168" spans="1:10" s="11" customFormat="1" ht="15.75" x14ac:dyDescent="0.25">
      <c r="A168" s="51">
        <f>IF(D168=0,"",1+MAX(A$9:A167))</f>
        <v>145</v>
      </c>
      <c r="B168" s="12"/>
      <c r="C168" s="9" t="s">
        <v>44</v>
      </c>
      <c r="D168" s="52">
        <v>8</v>
      </c>
      <c r="E168" s="10" t="s">
        <v>26</v>
      </c>
      <c r="F168" s="8">
        <v>150</v>
      </c>
      <c r="G168" s="8">
        <v>100</v>
      </c>
      <c r="H168" s="8">
        <f t="shared" si="6"/>
        <v>250</v>
      </c>
      <c r="I168" s="8">
        <f t="shared" si="7"/>
        <v>2000</v>
      </c>
      <c r="J168" s="53"/>
    </row>
    <row r="169" spans="1:10" s="11" customFormat="1" ht="15.75" x14ac:dyDescent="0.25">
      <c r="A169" s="51">
        <f>IF(D169=0,"",1+MAX(A$9:A168))</f>
        <v>146</v>
      </c>
      <c r="B169" s="12"/>
      <c r="C169" s="9" t="s">
        <v>72</v>
      </c>
      <c r="D169" s="52">
        <v>20</v>
      </c>
      <c r="E169" s="10" t="s">
        <v>26</v>
      </c>
      <c r="F169" s="8">
        <v>300</v>
      </c>
      <c r="G169" s="8">
        <v>150</v>
      </c>
      <c r="H169" s="8">
        <f t="shared" si="6"/>
        <v>450</v>
      </c>
      <c r="I169" s="8">
        <f t="shared" si="7"/>
        <v>9000</v>
      </c>
      <c r="J169" s="53"/>
    </row>
    <row r="170" spans="1:10" s="11" customFormat="1" ht="15.75" x14ac:dyDescent="0.25">
      <c r="A170" s="51">
        <f>IF(D170=0,"",1+MAX(A$9:A169))</f>
        <v>147</v>
      </c>
      <c r="B170" s="12"/>
      <c r="C170" s="9" t="s">
        <v>27</v>
      </c>
      <c r="D170" s="52">
        <v>8</v>
      </c>
      <c r="E170" s="10" t="s">
        <v>26</v>
      </c>
      <c r="F170" s="8">
        <v>150</v>
      </c>
      <c r="G170" s="8">
        <v>100</v>
      </c>
      <c r="H170" s="8">
        <f t="shared" si="6"/>
        <v>250</v>
      </c>
      <c r="I170" s="8">
        <f t="shared" si="7"/>
        <v>2000</v>
      </c>
      <c r="J170" s="53"/>
    </row>
    <row r="171" spans="1:10" s="11" customFormat="1" ht="15.75" x14ac:dyDescent="0.25">
      <c r="A171" s="51">
        <f>IF(D171=0,"",1+MAX(A$9:A170))</f>
        <v>148</v>
      </c>
      <c r="B171" s="12"/>
      <c r="C171" s="9" t="s">
        <v>31</v>
      </c>
      <c r="D171" s="52">
        <v>8</v>
      </c>
      <c r="E171" s="10" t="s">
        <v>26</v>
      </c>
      <c r="F171" s="8">
        <v>200</v>
      </c>
      <c r="G171" s="8">
        <v>100</v>
      </c>
      <c r="H171" s="8">
        <f t="shared" si="6"/>
        <v>300</v>
      </c>
      <c r="I171" s="8">
        <f t="shared" si="7"/>
        <v>2400</v>
      </c>
      <c r="J171" s="53"/>
    </row>
    <row r="172" spans="1:10" s="11" customFormat="1" ht="15.75" x14ac:dyDescent="0.25">
      <c r="A172" s="51">
        <f>IF(D172=0,"",1+MAX(A$9:A171))</f>
        <v>149</v>
      </c>
      <c r="B172" s="12"/>
      <c r="C172" s="9" t="s">
        <v>74</v>
      </c>
      <c r="D172" s="52">
        <v>4</v>
      </c>
      <c r="E172" s="10" t="s">
        <v>26</v>
      </c>
      <c r="F172" s="8">
        <v>300</v>
      </c>
      <c r="G172" s="8">
        <v>150</v>
      </c>
      <c r="H172" s="8">
        <f t="shared" si="6"/>
        <v>450</v>
      </c>
      <c r="I172" s="8">
        <f t="shared" si="7"/>
        <v>1800</v>
      </c>
      <c r="J172" s="53"/>
    </row>
    <row r="173" spans="1:10" s="11" customFormat="1" ht="15.75" x14ac:dyDescent="0.25">
      <c r="A173" s="51">
        <f>IF(D173=0,"",1+MAX(A$9:A172))</f>
        <v>150</v>
      </c>
      <c r="B173" s="12"/>
      <c r="C173" s="9" t="s">
        <v>43</v>
      </c>
      <c r="D173" s="52">
        <v>20</v>
      </c>
      <c r="E173" s="10" t="s">
        <v>26</v>
      </c>
      <c r="F173" s="8">
        <v>140</v>
      </c>
      <c r="G173" s="8">
        <v>90</v>
      </c>
      <c r="H173" s="8">
        <f t="shared" si="6"/>
        <v>230</v>
      </c>
      <c r="I173" s="8">
        <f t="shared" si="7"/>
        <v>4600</v>
      </c>
      <c r="J173" s="53"/>
    </row>
    <row r="174" spans="1:10" s="11" customFormat="1" ht="15.75" x14ac:dyDescent="0.25">
      <c r="A174" s="51">
        <f>IF(D174=0,"",1+MAX(A$9:A173))</f>
        <v>151</v>
      </c>
      <c r="B174" s="12"/>
      <c r="C174" s="9" t="s">
        <v>44</v>
      </c>
      <c r="D174" s="52">
        <v>4</v>
      </c>
      <c r="E174" s="10" t="s">
        <v>26</v>
      </c>
      <c r="F174" s="8">
        <v>150</v>
      </c>
      <c r="G174" s="8">
        <v>100</v>
      </c>
      <c r="H174" s="8">
        <f t="shared" si="6"/>
        <v>250</v>
      </c>
      <c r="I174" s="8">
        <f t="shared" si="7"/>
        <v>1000</v>
      </c>
      <c r="J174" s="53"/>
    </row>
    <row r="175" spans="1:10" s="11" customFormat="1" ht="15.75" x14ac:dyDescent="0.25">
      <c r="A175" s="51">
        <f>IF(D175=0,"",1+MAX(A$9:A174))</f>
        <v>152</v>
      </c>
      <c r="B175" s="12"/>
      <c r="C175" s="9" t="s">
        <v>42</v>
      </c>
      <c r="D175" s="52">
        <v>8</v>
      </c>
      <c r="E175" s="10" t="s">
        <v>26</v>
      </c>
      <c r="F175" s="8">
        <v>150</v>
      </c>
      <c r="G175" s="8">
        <v>100</v>
      </c>
      <c r="H175" s="8">
        <f t="shared" si="6"/>
        <v>250</v>
      </c>
      <c r="I175" s="8">
        <f t="shared" si="7"/>
        <v>2000</v>
      </c>
      <c r="J175" s="53"/>
    </row>
    <row r="176" spans="1:10" s="11" customFormat="1" ht="15.75" x14ac:dyDescent="0.25">
      <c r="A176" s="51">
        <f>IF(D176=0,"",1+MAX(A$9:A175))</f>
        <v>153</v>
      </c>
      <c r="B176" s="12"/>
      <c r="C176" s="9" t="s">
        <v>76</v>
      </c>
      <c r="D176" s="52">
        <v>4</v>
      </c>
      <c r="E176" s="10" t="s">
        <v>26</v>
      </c>
      <c r="F176" s="8">
        <v>300</v>
      </c>
      <c r="G176" s="8">
        <v>150</v>
      </c>
      <c r="H176" s="8">
        <f t="shared" si="6"/>
        <v>450</v>
      </c>
      <c r="I176" s="8">
        <f t="shared" si="7"/>
        <v>1800</v>
      </c>
      <c r="J176" s="53"/>
    </row>
    <row r="177" spans="1:10" s="11" customFormat="1" ht="15.75" x14ac:dyDescent="0.25">
      <c r="A177" s="51">
        <f>IF(D177=0,"",1+MAX(A$9:A176))</f>
        <v>154</v>
      </c>
      <c r="B177" s="12"/>
      <c r="C177" s="9" t="s">
        <v>48</v>
      </c>
      <c r="D177" s="52">
        <v>8</v>
      </c>
      <c r="E177" s="10" t="s">
        <v>26</v>
      </c>
      <c r="F177" s="8">
        <v>200</v>
      </c>
      <c r="G177" s="8">
        <v>100</v>
      </c>
      <c r="H177" s="8">
        <f t="shared" si="6"/>
        <v>300</v>
      </c>
      <c r="I177" s="8">
        <f t="shared" si="7"/>
        <v>2400</v>
      </c>
      <c r="J177" s="53"/>
    </row>
    <row r="178" spans="1:10" s="11" customFormat="1" ht="15.75" x14ac:dyDescent="0.25">
      <c r="A178" s="51">
        <f>IF(D178=0,"",1+MAX(A$9:A177))</f>
        <v>155</v>
      </c>
      <c r="B178" s="12"/>
      <c r="C178" s="9" t="s">
        <v>73</v>
      </c>
      <c r="D178" s="52">
        <v>4</v>
      </c>
      <c r="E178" s="10" t="s">
        <v>26</v>
      </c>
      <c r="F178" s="8">
        <v>1600</v>
      </c>
      <c r="G178" s="8">
        <v>800</v>
      </c>
      <c r="H178" s="8">
        <f t="shared" si="6"/>
        <v>2400</v>
      </c>
      <c r="I178" s="8">
        <f t="shared" si="7"/>
        <v>9600</v>
      </c>
      <c r="J178" s="53"/>
    </row>
    <row r="179" spans="1:10" s="11" customFormat="1" ht="15.75" x14ac:dyDescent="0.25">
      <c r="A179" s="51">
        <f>IF(D179=0,"",1+MAX(A$9:A178))</f>
        <v>156</v>
      </c>
      <c r="B179" s="12"/>
      <c r="C179" s="9" t="s">
        <v>77</v>
      </c>
      <c r="D179" s="52">
        <v>8</v>
      </c>
      <c r="E179" s="10" t="s">
        <v>26</v>
      </c>
      <c r="F179" s="8">
        <v>70</v>
      </c>
      <c r="G179" s="8">
        <v>50</v>
      </c>
      <c r="H179" s="8">
        <f t="shared" si="6"/>
        <v>120</v>
      </c>
      <c r="I179" s="8">
        <f t="shared" si="7"/>
        <v>960</v>
      </c>
      <c r="J179" s="53"/>
    </row>
    <row r="180" spans="1:10" s="11" customFormat="1" ht="15.75" x14ac:dyDescent="0.25">
      <c r="A180" s="51">
        <f>IF(D180=0,"",1+MAX(A$9:A179))</f>
        <v>157</v>
      </c>
      <c r="B180" s="12"/>
      <c r="C180" s="9" t="s">
        <v>71</v>
      </c>
      <c r="D180" s="52">
        <v>4</v>
      </c>
      <c r="E180" s="10" t="s">
        <v>26</v>
      </c>
      <c r="F180" s="8">
        <v>200</v>
      </c>
      <c r="G180" s="8">
        <v>100</v>
      </c>
      <c r="H180" s="8">
        <f t="shared" si="6"/>
        <v>300</v>
      </c>
      <c r="I180" s="8">
        <f t="shared" si="7"/>
        <v>1200</v>
      </c>
      <c r="J180" s="53"/>
    </row>
    <row r="181" spans="1:10" s="11" customFormat="1" ht="15.75" x14ac:dyDescent="0.25">
      <c r="A181" s="51">
        <f>IF(D181=0,"",1+MAX(A$9:A180))</f>
        <v>158</v>
      </c>
      <c r="B181" s="12"/>
      <c r="C181" s="9" t="s">
        <v>78</v>
      </c>
      <c r="D181" s="52">
        <v>4</v>
      </c>
      <c r="E181" s="10" t="s">
        <v>26</v>
      </c>
      <c r="F181" s="8">
        <v>300</v>
      </c>
      <c r="G181" s="8">
        <v>150</v>
      </c>
      <c r="H181" s="8">
        <f t="shared" si="6"/>
        <v>450</v>
      </c>
      <c r="I181" s="8">
        <f t="shared" si="7"/>
        <v>1800</v>
      </c>
      <c r="J181" s="53"/>
    </row>
    <row r="182" spans="1:10" s="11" customFormat="1" ht="15.75" x14ac:dyDescent="0.25">
      <c r="A182" s="51" t="str">
        <f>IF(D182=0,"",1+MAX(A$9:A181))</f>
        <v/>
      </c>
      <c r="B182" s="12"/>
      <c r="C182" s="79" t="s">
        <v>87</v>
      </c>
      <c r="D182" s="52"/>
      <c r="E182" s="10"/>
      <c r="F182" s="8"/>
      <c r="G182" s="8"/>
      <c r="H182" s="8"/>
      <c r="I182" s="8"/>
      <c r="J182" s="53"/>
    </row>
    <row r="183" spans="1:10" s="11" customFormat="1" ht="15.75" x14ac:dyDescent="0.25">
      <c r="A183" s="51">
        <f>IF(D183=0,"",1+MAX(A$9:A182))</f>
        <v>159</v>
      </c>
      <c r="B183" s="12"/>
      <c r="C183" s="9" t="s">
        <v>44</v>
      </c>
      <c r="D183" s="52">
        <v>4</v>
      </c>
      <c r="E183" s="10" t="s">
        <v>26</v>
      </c>
      <c r="F183" s="8">
        <v>150</v>
      </c>
      <c r="G183" s="8">
        <v>100</v>
      </c>
      <c r="H183" s="8">
        <f t="shared" si="6"/>
        <v>250</v>
      </c>
      <c r="I183" s="8">
        <f t="shared" si="7"/>
        <v>1000</v>
      </c>
      <c r="J183" s="53"/>
    </row>
    <row r="184" spans="1:10" s="11" customFormat="1" ht="15.75" x14ac:dyDescent="0.25">
      <c r="A184" s="51">
        <f>IF(D184=0,"",1+MAX(A$9:A183))</f>
        <v>160</v>
      </c>
      <c r="B184" s="12"/>
      <c r="C184" s="9" t="s">
        <v>28</v>
      </c>
      <c r="D184" s="52">
        <v>20</v>
      </c>
      <c r="E184" s="10" t="s">
        <v>26</v>
      </c>
      <c r="F184" s="8">
        <v>140</v>
      </c>
      <c r="G184" s="8">
        <v>90</v>
      </c>
      <c r="H184" s="8">
        <f t="shared" si="6"/>
        <v>230</v>
      </c>
      <c r="I184" s="8">
        <f t="shared" si="7"/>
        <v>4600</v>
      </c>
      <c r="J184" s="53"/>
    </row>
    <row r="185" spans="1:10" s="11" customFormat="1" ht="15.75" x14ac:dyDescent="0.25">
      <c r="A185" s="51">
        <f>IF(D185=0,"",1+MAX(A$9:A184))</f>
        <v>161</v>
      </c>
      <c r="B185" s="12"/>
      <c r="C185" s="9" t="s">
        <v>43</v>
      </c>
      <c r="D185" s="52">
        <v>12</v>
      </c>
      <c r="E185" s="10" t="s">
        <v>26</v>
      </c>
      <c r="F185" s="8">
        <v>140</v>
      </c>
      <c r="G185" s="8">
        <v>90</v>
      </c>
      <c r="H185" s="8">
        <f t="shared" si="6"/>
        <v>230</v>
      </c>
      <c r="I185" s="8">
        <f t="shared" si="7"/>
        <v>2760</v>
      </c>
      <c r="J185" s="53"/>
    </row>
    <row r="186" spans="1:10" s="11" customFormat="1" ht="15.75" x14ac:dyDescent="0.25">
      <c r="A186" s="51">
        <f>IF(D186=0,"",1+MAX(A$9:A185))</f>
        <v>162</v>
      </c>
      <c r="B186" s="12"/>
      <c r="C186" s="9" t="s">
        <v>27</v>
      </c>
      <c r="D186" s="52">
        <v>6</v>
      </c>
      <c r="E186" s="10" t="s">
        <v>26</v>
      </c>
      <c r="F186" s="8">
        <v>150</v>
      </c>
      <c r="G186" s="8">
        <v>100</v>
      </c>
      <c r="H186" s="8">
        <f t="shared" si="6"/>
        <v>250</v>
      </c>
      <c r="I186" s="8">
        <f t="shared" si="7"/>
        <v>1500</v>
      </c>
      <c r="J186" s="53"/>
    </row>
    <row r="187" spans="1:10" s="11" customFormat="1" ht="15.75" x14ac:dyDescent="0.25">
      <c r="A187" s="51">
        <f>IF(D187=0,"",1+MAX(A$9:A186))</f>
        <v>163</v>
      </c>
      <c r="B187" s="12"/>
      <c r="C187" s="9" t="s">
        <v>42</v>
      </c>
      <c r="D187" s="52">
        <v>4</v>
      </c>
      <c r="E187" s="10" t="s">
        <v>26</v>
      </c>
      <c r="F187" s="8">
        <v>150</v>
      </c>
      <c r="G187" s="8">
        <v>100</v>
      </c>
      <c r="H187" s="8">
        <f t="shared" si="6"/>
        <v>250</v>
      </c>
      <c r="I187" s="8">
        <f t="shared" si="7"/>
        <v>1000</v>
      </c>
      <c r="J187" s="53"/>
    </row>
    <row r="188" spans="1:10" s="11" customFormat="1" ht="15.75" x14ac:dyDescent="0.25">
      <c r="A188" s="51">
        <f>IF(D188=0,"",1+MAX(A$9:A187))</f>
        <v>164</v>
      </c>
      <c r="B188" s="12"/>
      <c r="C188" s="9" t="s">
        <v>48</v>
      </c>
      <c r="D188" s="52">
        <v>4</v>
      </c>
      <c r="E188" s="10" t="s">
        <v>26</v>
      </c>
      <c r="F188" s="8">
        <v>200</v>
      </c>
      <c r="G188" s="8">
        <v>100</v>
      </c>
      <c r="H188" s="8">
        <f t="shared" si="6"/>
        <v>300</v>
      </c>
      <c r="I188" s="8">
        <f t="shared" si="7"/>
        <v>1200</v>
      </c>
      <c r="J188" s="53"/>
    </row>
    <row r="189" spans="1:10" s="11" customFormat="1" ht="15.75" x14ac:dyDescent="0.25">
      <c r="A189" s="51">
        <f>IF(D189=0,"",1+MAX(A$9:A188))</f>
        <v>165</v>
      </c>
      <c r="B189" s="12"/>
      <c r="C189" s="9" t="s">
        <v>31</v>
      </c>
      <c r="D189" s="52">
        <v>4</v>
      </c>
      <c r="E189" s="10" t="s">
        <v>26</v>
      </c>
      <c r="F189" s="8">
        <v>200</v>
      </c>
      <c r="G189" s="8">
        <v>100</v>
      </c>
      <c r="H189" s="8">
        <f t="shared" si="6"/>
        <v>300</v>
      </c>
      <c r="I189" s="8">
        <f t="shared" si="7"/>
        <v>1200</v>
      </c>
      <c r="J189" s="53"/>
    </row>
    <row r="190" spans="1:10" s="11" customFormat="1" ht="15.75" x14ac:dyDescent="0.25">
      <c r="A190" s="51">
        <f>IF(D190=0,"",1+MAX(A$9:A189))</f>
        <v>166</v>
      </c>
      <c r="B190" s="12"/>
      <c r="C190" s="9" t="s">
        <v>62</v>
      </c>
      <c r="D190" s="52">
        <v>18</v>
      </c>
      <c r="E190" s="10" t="s">
        <v>26</v>
      </c>
      <c r="F190" s="8">
        <v>70</v>
      </c>
      <c r="G190" s="8">
        <v>50</v>
      </c>
      <c r="H190" s="8">
        <f t="shared" si="6"/>
        <v>120</v>
      </c>
      <c r="I190" s="8">
        <f t="shared" si="7"/>
        <v>2160</v>
      </c>
      <c r="J190" s="53"/>
    </row>
    <row r="191" spans="1:10" s="11" customFormat="1" ht="15.75" x14ac:dyDescent="0.25">
      <c r="A191" s="51">
        <f>IF(D191=0,"",1+MAX(A$9:A190))</f>
        <v>167</v>
      </c>
      <c r="B191" s="12"/>
      <c r="C191" s="9" t="s">
        <v>74</v>
      </c>
      <c r="D191" s="52">
        <v>2</v>
      </c>
      <c r="E191" s="10" t="s">
        <v>26</v>
      </c>
      <c r="F191" s="8">
        <v>300</v>
      </c>
      <c r="G191" s="8">
        <v>150</v>
      </c>
      <c r="H191" s="8">
        <f t="shared" si="6"/>
        <v>450</v>
      </c>
      <c r="I191" s="8">
        <f t="shared" si="7"/>
        <v>900</v>
      </c>
      <c r="J191" s="53"/>
    </row>
    <row r="192" spans="1:10" s="11" customFormat="1" ht="15.75" x14ac:dyDescent="0.25">
      <c r="A192" s="51">
        <f>IF(D192=0,"",1+MAX(A$9:A191))</f>
        <v>168</v>
      </c>
      <c r="B192" s="12"/>
      <c r="C192" s="9" t="s">
        <v>71</v>
      </c>
      <c r="D192" s="52">
        <v>4</v>
      </c>
      <c r="E192" s="10" t="s">
        <v>26</v>
      </c>
      <c r="F192" s="8">
        <v>200</v>
      </c>
      <c r="G192" s="8">
        <v>100</v>
      </c>
      <c r="H192" s="8">
        <f t="shared" si="6"/>
        <v>300</v>
      </c>
      <c r="I192" s="8">
        <f t="shared" si="7"/>
        <v>1200</v>
      </c>
      <c r="J192" s="53"/>
    </row>
    <row r="193" spans="1:10" s="11" customFormat="1" ht="15.75" x14ac:dyDescent="0.25">
      <c r="A193" s="51">
        <f>IF(D193=0,"",1+MAX(A$9:A192))</f>
        <v>169</v>
      </c>
      <c r="B193" s="12"/>
      <c r="C193" s="9" t="s">
        <v>27</v>
      </c>
      <c r="D193" s="52">
        <v>2</v>
      </c>
      <c r="E193" s="10" t="s">
        <v>26</v>
      </c>
      <c r="F193" s="8">
        <v>150</v>
      </c>
      <c r="G193" s="8">
        <v>100</v>
      </c>
      <c r="H193" s="8">
        <f t="shared" si="6"/>
        <v>250</v>
      </c>
      <c r="I193" s="8">
        <f t="shared" si="7"/>
        <v>500</v>
      </c>
      <c r="J193" s="53"/>
    </row>
    <row r="194" spans="1:10" s="11" customFormat="1" ht="15.75" x14ac:dyDescent="0.25">
      <c r="A194" s="51">
        <f>IF(D194=0,"",1+MAX(A$9:A193))</f>
        <v>170</v>
      </c>
      <c r="B194" s="12"/>
      <c r="C194" s="9" t="s">
        <v>79</v>
      </c>
      <c r="D194" s="52">
        <v>4</v>
      </c>
      <c r="E194" s="10" t="s">
        <v>26</v>
      </c>
      <c r="F194" s="8">
        <v>150</v>
      </c>
      <c r="G194" s="8">
        <v>100</v>
      </c>
      <c r="H194" s="8">
        <f t="shared" si="6"/>
        <v>250</v>
      </c>
      <c r="I194" s="8">
        <f t="shared" si="7"/>
        <v>1000</v>
      </c>
      <c r="J194" s="53"/>
    </row>
    <row r="195" spans="1:10" s="11" customFormat="1" ht="15.75" x14ac:dyDescent="0.25">
      <c r="A195" s="51">
        <f>IF(D195=0,"",1+MAX(A$9:A194))</f>
        <v>171</v>
      </c>
      <c r="B195" s="12"/>
      <c r="C195" s="9" t="s">
        <v>73</v>
      </c>
      <c r="D195" s="52">
        <v>2</v>
      </c>
      <c r="E195" s="10" t="s">
        <v>26</v>
      </c>
      <c r="F195" s="8">
        <v>1600</v>
      </c>
      <c r="G195" s="8">
        <v>800</v>
      </c>
      <c r="H195" s="8">
        <f t="shared" si="6"/>
        <v>2400</v>
      </c>
      <c r="I195" s="8">
        <f t="shared" si="7"/>
        <v>4800</v>
      </c>
      <c r="J195" s="53"/>
    </row>
    <row r="196" spans="1:10" s="11" customFormat="1" ht="15.75" x14ac:dyDescent="0.25">
      <c r="A196" s="51">
        <f>IF(D196=0,"",1+MAX(A$9:A195))</f>
        <v>172</v>
      </c>
      <c r="B196" s="12"/>
      <c r="C196" s="9" t="s">
        <v>29</v>
      </c>
      <c r="D196" s="52">
        <v>6</v>
      </c>
      <c r="E196" s="10" t="s">
        <v>26</v>
      </c>
      <c r="F196" s="8">
        <v>140</v>
      </c>
      <c r="G196" s="8">
        <v>90</v>
      </c>
      <c r="H196" s="8">
        <f t="shared" si="6"/>
        <v>230</v>
      </c>
      <c r="I196" s="8">
        <f t="shared" si="7"/>
        <v>1380</v>
      </c>
      <c r="J196" s="53"/>
    </row>
    <row r="197" spans="1:10" s="11" customFormat="1" ht="15.75" x14ac:dyDescent="0.25">
      <c r="A197" s="51">
        <f>IF(D197=0,"",1+MAX(A$9:A196))</f>
        <v>173</v>
      </c>
      <c r="B197" s="12"/>
      <c r="C197" s="9" t="s">
        <v>72</v>
      </c>
      <c r="D197" s="52">
        <v>12</v>
      </c>
      <c r="E197" s="10" t="s">
        <v>26</v>
      </c>
      <c r="F197" s="8">
        <v>300</v>
      </c>
      <c r="G197" s="8">
        <v>150</v>
      </c>
      <c r="H197" s="8">
        <f t="shared" si="6"/>
        <v>450</v>
      </c>
      <c r="I197" s="8">
        <f t="shared" si="7"/>
        <v>5400</v>
      </c>
      <c r="J197" s="53"/>
    </row>
    <row r="198" spans="1:10" s="11" customFormat="1" ht="15.75" x14ac:dyDescent="0.25">
      <c r="A198" s="51">
        <f>IF(D198=0,"",1+MAX(A$9:A197))</f>
        <v>174</v>
      </c>
      <c r="B198" s="12"/>
      <c r="C198" s="9" t="s">
        <v>76</v>
      </c>
      <c r="D198" s="52">
        <v>2</v>
      </c>
      <c r="E198" s="10" t="s">
        <v>26</v>
      </c>
      <c r="F198" s="8">
        <v>300</v>
      </c>
      <c r="G198" s="8">
        <v>150</v>
      </c>
      <c r="H198" s="8">
        <f t="shared" si="6"/>
        <v>450</v>
      </c>
      <c r="I198" s="8">
        <f t="shared" si="7"/>
        <v>900</v>
      </c>
      <c r="J198" s="53"/>
    </row>
    <row r="199" spans="1:10" s="11" customFormat="1" ht="15.75" x14ac:dyDescent="0.25">
      <c r="A199" s="51">
        <f>IF(D199=0,"",1+MAX(A$9:A198))</f>
        <v>175</v>
      </c>
      <c r="B199" s="12"/>
      <c r="C199" s="9" t="s">
        <v>77</v>
      </c>
      <c r="D199" s="52">
        <v>2</v>
      </c>
      <c r="E199" s="10" t="s">
        <v>26</v>
      </c>
      <c r="F199" s="8">
        <v>70</v>
      </c>
      <c r="G199" s="8">
        <v>50</v>
      </c>
      <c r="H199" s="8">
        <f t="shared" si="6"/>
        <v>120</v>
      </c>
      <c r="I199" s="8">
        <f t="shared" si="7"/>
        <v>240</v>
      </c>
      <c r="J199" s="53"/>
    </row>
    <row r="200" spans="1:10" s="11" customFormat="1" ht="15.75" x14ac:dyDescent="0.25">
      <c r="A200" s="51">
        <f>IF(D200=0,"",1+MAX(A$9:A199))</f>
        <v>176</v>
      </c>
      <c r="B200" s="12"/>
      <c r="C200" s="9" t="s">
        <v>85</v>
      </c>
      <c r="D200" s="52">
        <v>2</v>
      </c>
      <c r="E200" s="10" t="s">
        <v>26</v>
      </c>
      <c r="F200" s="8">
        <v>300</v>
      </c>
      <c r="G200" s="8">
        <v>150</v>
      </c>
      <c r="H200" s="8">
        <f t="shared" si="6"/>
        <v>450</v>
      </c>
      <c r="I200" s="8">
        <f t="shared" si="7"/>
        <v>900</v>
      </c>
      <c r="J200" s="53"/>
    </row>
    <row r="201" spans="1:10" s="11" customFormat="1" ht="15.75" x14ac:dyDescent="0.25">
      <c r="A201" s="51" t="str">
        <f>IF(D201=0,"",1+MAX(A$9:A200))</f>
        <v/>
      </c>
      <c r="B201" s="12"/>
      <c r="C201" s="79" t="s">
        <v>86</v>
      </c>
      <c r="D201" s="52"/>
      <c r="E201" s="10"/>
      <c r="F201" s="8"/>
      <c r="G201" s="8"/>
      <c r="H201" s="8"/>
      <c r="I201" s="8"/>
      <c r="J201" s="53"/>
    </row>
    <row r="202" spans="1:10" s="11" customFormat="1" ht="15.75" x14ac:dyDescent="0.25">
      <c r="A202" s="51">
        <f>IF(D202=0,"",1+MAX(A$9:A201))</f>
        <v>177</v>
      </c>
      <c r="B202" s="12"/>
      <c r="C202" s="9" t="s">
        <v>44</v>
      </c>
      <c r="D202" s="52">
        <v>4</v>
      </c>
      <c r="E202" s="10" t="s">
        <v>26</v>
      </c>
      <c r="F202" s="8">
        <v>150</v>
      </c>
      <c r="G202" s="8">
        <v>100</v>
      </c>
      <c r="H202" s="8">
        <f t="shared" si="6"/>
        <v>250</v>
      </c>
      <c r="I202" s="8">
        <f t="shared" si="7"/>
        <v>1000</v>
      </c>
      <c r="J202" s="53"/>
    </row>
    <row r="203" spans="1:10" s="11" customFormat="1" ht="15.75" x14ac:dyDescent="0.25">
      <c r="A203" s="51">
        <f>IF(D203=0,"",1+MAX(A$9:A202))</f>
        <v>178</v>
      </c>
      <c r="B203" s="12"/>
      <c r="C203" s="9" t="s">
        <v>28</v>
      </c>
      <c r="D203" s="52">
        <v>20</v>
      </c>
      <c r="E203" s="10" t="s">
        <v>26</v>
      </c>
      <c r="F203" s="8">
        <v>140</v>
      </c>
      <c r="G203" s="8">
        <v>90</v>
      </c>
      <c r="H203" s="8">
        <f t="shared" si="6"/>
        <v>230</v>
      </c>
      <c r="I203" s="8">
        <f t="shared" si="7"/>
        <v>4600</v>
      </c>
      <c r="J203" s="53"/>
    </row>
    <row r="204" spans="1:10" s="11" customFormat="1" ht="15.75" x14ac:dyDescent="0.25">
      <c r="A204" s="51">
        <f>IF(D204=0,"",1+MAX(A$9:A203))</f>
        <v>179</v>
      </c>
      <c r="B204" s="12"/>
      <c r="C204" s="9" t="s">
        <v>43</v>
      </c>
      <c r="D204" s="52">
        <v>12</v>
      </c>
      <c r="E204" s="10" t="s">
        <v>26</v>
      </c>
      <c r="F204" s="8">
        <v>140</v>
      </c>
      <c r="G204" s="8">
        <v>90</v>
      </c>
      <c r="H204" s="8">
        <f t="shared" si="6"/>
        <v>230</v>
      </c>
      <c r="I204" s="8">
        <f t="shared" si="7"/>
        <v>2760</v>
      </c>
      <c r="J204" s="53"/>
    </row>
    <row r="205" spans="1:10" s="11" customFormat="1" ht="15.75" x14ac:dyDescent="0.25">
      <c r="A205" s="51">
        <f>IF(D205=0,"",1+MAX(A$9:A204))</f>
        <v>180</v>
      </c>
      <c r="B205" s="12"/>
      <c r="C205" s="9" t="s">
        <v>27</v>
      </c>
      <c r="D205" s="52">
        <v>6</v>
      </c>
      <c r="E205" s="10" t="s">
        <v>26</v>
      </c>
      <c r="F205" s="8">
        <v>150</v>
      </c>
      <c r="G205" s="8">
        <v>100</v>
      </c>
      <c r="H205" s="8">
        <f t="shared" si="6"/>
        <v>250</v>
      </c>
      <c r="I205" s="8">
        <f t="shared" si="7"/>
        <v>1500</v>
      </c>
      <c r="J205" s="53"/>
    </row>
    <row r="206" spans="1:10" s="11" customFormat="1" ht="15.75" x14ac:dyDescent="0.25">
      <c r="A206" s="51">
        <f>IF(D206=0,"",1+MAX(A$9:A205))</f>
        <v>181</v>
      </c>
      <c r="B206" s="12"/>
      <c r="C206" s="9" t="s">
        <v>42</v>
      </c>
      <c r="D206" s="52">
        <v>4</v>
      </c>
      <c r="E206" s="10" t="s">
        <v>26</v>
      </c>
      <c r="F206" s="8">
        <v>150</v>
      </c>
      <c r="G206" s="8">
        <v>100</v>
      </c>
      <c r="H206" s="8">
        <f t="shared" si="6"/>
        <v>250</v>
      </c>
      <c r="I206" s="8">
        <f t="shared" si="7"/>
        <v>1000</v>
      </c>
      <c r="J206" s="53"/>
    </row>
    <row r="207" spans="1:10" s="11" customFormat="1" ht="15.75" x14ac:dyDescent="0.25">
      <c r="A207" s="51">
        <f>IF(D207=0,"",1+MAX(A$9:A206))</f>
        <v>182</v>
      </c>
      <c r="B207" s="12"/>
      <c r="C207" s="9" t="s">
        <v>48</v>
      </c>
      <c r="D207" s="52">
        <v>4</v>
      </c>
      <c r="E207" s="10" t="s">
        <v>26</v>
      </c>
      <c r="F207" s="8">
        <v>200</v>
      </c>
      <c r="G207" s="8">
        <v>100</v>
      </c>
      <c r="H207" s="8">
        <f t="shared" si="6"/>
        <v>300</v>
      </c>
      <c r="I207" s="8">
        <f t="shared" si="7"/>
        <v>1200</v>
      </c>
      <c r="J207" s="53"/>
    </row>
    <row r="208" spans="1:10" s="11" customFormat="1" ht="15.75" x14ac:dyDescent="0.25">
      <c r="A208" s="51">
        <f>IF(D208=0,"",1+MAX(A$9:A207))</f>
        <v>183</v>
      </c>
      <c r="B208" s="12"/>
      <c r="C208" s="9" t="s">
        <v>31</v>
      </c>
      <c r="D208" s="52">
        <v>4</v>
      </c>
      <c r="E208" s="10" t="s">
        <v>26</v>
      </c>
      <c r="F208" s="8">
        <v>200</v>
      </c>
      <c r="G208" s="8">
        <v>100</v>
      </c>
      <c r="H208" s="8">
        <f t="shared" si="6"/>
        <v>300</v>
      </c>
      <c r="I208" s="8">
        <f t="shared" si="7"/>
        <v>1200</v>
      </c>
      <c r="J208" s="53"/>
    </row>
    <row r="209" spans="1:10" s="11" customFormat="1" ht="15.75" x14ac:dyDescent="0.25">
      <c r="A209" s="51">
        <f>IF(D209=0,"",1+MAX(A$9:A208))</f>
        <v>184</v>
      </c>
      <c r="B209" s="12"/>
      <c r="C209" s="9" t="s">
        <v>62</v>
      </c>
      <c r="D209" s="52">
        <v>18</v>
      </c>
      <c r="E209" s="10" t="s">
        <v>26</v>
      </c>
      <c r="F209" s="8">
        <v>70</v>
      </c>
      <c r="G209" s="8">
        <v>50</v>
      </c>
      <c r="H209" s="8">
        <f t="shared" si="6"/>
        <v>120</v>
      </c>
      <c r="I209" s="8">
        <f t="shared" si="7"/>
        <v>2160</v>
      </c>
      <c r="J209" s="53"/>
    </row>
    <row r="210" spans="1:10" s="11" customFormat="1" ht="15.75" x14ac:dyDescent="0.25">
      <c r="A210" s="51">
        <f>IF(D210=0,"",1+MAX(A$9:A209))</f>
        <v>185</v>
      </c>
      <c r="B210" s="12"/>
      <c r="C210" s="9" t="s">
        <v>74</v>
      </c>
      <c r="D210" s="52">
        <v>2</v>
      </c>
      <c r="E210" s="10" t="s">
        <v>26</v>
      </c>
      <c r="F210" s="8">
        <v>300</v>
      </c>
      <c r="G210" s="8">
        <v>150</v>
      </c>
      <c r="H210" s="8">
        <f t="shared" si="6"/>
        <v>450</v>
      </c>
      <c r="I210" s="8">
        <f t="shared" si="7"/>
        <v>900</v>
      </c>
      <c r="J210" s="53"/>
    </row>
    <row r="211" spans="1:10" s="11" customFormat="1" ht="15.75" x14ac:dyDescent="0.25">
      <c r="A211" s="51">
        <f>IF(D211=0,"",1+MAX(A$9:A210))</f>
        <v>186</v>
      </c>
      <c r="B211" s="12"/>
      <c r="C211" s="9" t="s">
        <v>71</v>
      </c>
      <c r="D211" s="52">
        <v>4</v>
      </c>
      <c r="E211" s="10" t="s">
        <v>26</v>
      </c>
      <c r="F211" s="8">
        <v>200</v>
      </c>
      <c r="G211" s="8">
        <v>100</v>
      </c>
      <c r="H211" s="8">
        <f t="shared" si="6"/>
        <v>300</v>
      </c>
      <c r="I211" s="8">
        <f t="shared" si="7"/>
        <v>1200</v>
      </c>
      <c r="J211" s="53"/>
    </row>
    <row r="212" spans="1:10" s="11" customFormat="1" ht="15.75" x14ac:dyDescent="0.25">
      <c r="A212" s="51">
        <f>IF(D212=0,"",1+MAX(A$9:A211))</f>
        <v>187</v>
      </c>
      <c r="B212" s="12"/>
      <c r="C212" s="9" t="s">
        <v>27</v>
      </c>
      <c r="D212" s="52">
        <v>2</v>
      </c>
      <c r="E212" s="10" t="s">
        <v>26</v>
      </c>
      <c r="F212" s="8">
        <v>150</v>
      </c>
      <c r="G212" s="8">
        <v>100</v>
      </c>
      <c r="H212" s="8">
        <f t="shared" ref="H212:H219" si="8">F212+G212</f>
        <v>250</v>
      </c>
      <c r="I212" s="8">
        <f t="shared" ref="I212:I219" si="9">D212*H212</f>
        <v>500</v>
      </c>
      <c r="J212" s="53"/>
    </row>
    <row r="213" spans="1:10" s="11" customFormat="1" ht="15.75" x14ac:dyDescent="0.25">
      <c r="A213" s="51">
        <f>IF(D213=0,"",1+MAX(A$9:A212))</f>
        <v>188</v>
      </c>
      <c r="B213" s="12"/>
      <c r="C213" s="9" t="s">
        <v>79</v>
      </c>
      <c r="D213" s="52">
        <v>4</v>
      </c>
      <c r="E213" s="10" t="s">
        <v>26</v>
      </c>
      <c r="F213" s="8">
        <v>150</v>
      </c>
      <c r="G213" s="8">
        <v>100</v>
      </c>
      <c r="H213" s="8">
        <f t="shared" si="8"/>
        <v>250</v>
      </c>
      <c r="I213" s="8">
        <f t="shared" si="9"/>
        <v>1000</v>
      </c>
      <c r="J213" s="53"/>
    </row>
    <row r="214" spans="1:10" s="11" customFormat="1" ht="15.75" x14ac:dyDescent="0.25">
      <c r="A214" s="51">
        <f>IF(D214=0,"",1+MAX(A$9:A213))</f>
        <v>189</v>
      </c>
      <c r="B214" s="12"/>
      <c r="C214" s="9" t="s">
        <v>73</v>
      </c>
      <c r="D214" s="52">
        <v>2</v>
      </c>
      <c r="E214" s="10" t="s">
        <v>26</v>
      </c>
      <c r="F214" s="8">
        <v>1600</v>
      </c>
      <c r="G214" s="8">
        <v>800</v>
      </c>
      <c r="H214" s="8">
        <f t="shared" si="8"/>
        <v>2400</v>
      </c>
      <c r="I214" s="8">
        <f t="shared" si="9"/>
        <v>4800</v>
      </c>
      <c r="J214" s="53"/>
    </row>
    <row r="215" spans="1:10" s="11" customFormat="1" ht="15.75" x14ac:dyDescent="0.25">
      <c r="A215" s="51">
        <f>IF(D215=0,"",1+MAX(A$9:A214))</f>
        <v>190</v>
      </c>
      <c r="B215" s="12"/>
      <c r="C215" s="9" t="s">
        <v>29</v>
      </c>
      <c r="D215" s="52">
        <v>6</v>
      </c>
      <c r="E215" s="10" t="s">
        <v>26</v>
      </c>
      <c r="F215" s="8">
        <v>140</v>
      </c>
      <c r="G215" s="8">
        <v>90</v>
      </c>
      <c r="H215" s="8">
        <f t="shared" si="8"/>
        <v>230</v>
      </c>
      <c r="I215" s="8">
        <f t="shared" si="9"/>
        <v>1380</v>
      </c>
      <c r="J215" s="53"/>
    </row>
    <row r="216" spans="1:10" s="11" customFormat="1" ht="15.75" x14ac:dyDescent="0.25">
      <c r="A216" s="51">
        <f>IF(D216=0,"",1+MAX(A$9:A215))</f>
        <v>191</v>
      </c>
      <c r="B216" s="12"/>
      <c r="C216" s="9" t="s">
        <v>72</v>
      </c>
      <c r="D216" s="52">
        <v>12</v>
      </c>
      <c r="E216" s="10" t="s">
        <v>26</v>
      </c>
      <c r="F216" s="8">
        <v>300</v>
      </c>
      <c r="G216" s="8">
        <v>150</v>
      </c>
      <c r="H216" s="8">
        <f t="shared" si="8"/>
        <v>450</v>
      </c>
      <c r="I216" s="8">
        <f t="shared" si="9"/>
        <v>5400</v>
      </c>
      <c r="J216" s="53"/>
    </row>
    <row r="217" spans="1:10" s="11" customFormat="1" ht="15.75" x14ac:dyDescent="0.25">
      <c r="A217" s="51">
        <f>IF(D217=0,"",1+MAX(A$9:A216))</f>
        <v>192</v>
      </c>
      <c r="B217" s="12"/>
      <c r="C217" s="9" t="s">
        <v>76</v>
      </c>
      <c r="D217" s="52">
        <v>2</v>
      </c>
      <c r="E217" s="10" t="s">
        <v>26</v>
      </c>
      <c r="F217" s="8">
        <v>300</v>
      </c>
      <c r="G217" s="8">
        <v>150</v>
      </c>
      <c r="H217" s="8">
        <f t="shared" si="8"/>
        <v>450</v>
      </c>
      <c r="I217" s="8">
        <f t="shared" si="9"/>
        <v>900</v>
      </c>
      <c r="J217" s="53"/>
    </row>
    <row r="218" spans="1:10" s="11" customFormat="1" ht="15.75" x14ac:dyDescent="0.25">
      <c r="A218" s="51">
        <f>IF(D218=0,"",1+MAX(A$9:A217))</f>
        <v>193</v>
      </c>
      <c r="B218" s="12"/>
      <c r="C218" s="9" t="s">
        <v>77</v>
      </c>
      <c r="D218" s="52">
        <v>2</v>
      </c>
      <c r="E218" s="10" t="s">
        <v>26</v>
      </c>
      <c r="F218" s="8">
        <v>70</v>
      </c>
      <c r="G218" s="8">
        <v>50</v>
      </c>
      <c r="H218" s="8">
        <f t="shared" si="8"/>
        <v>120</v>
      </c>
      <c r="I218" s="8">
        <f t="shared" si="9"/>
        <v>240</v>
      </c>
      <c r="J218" s="53"/>
    </row>
    <row r="219" spans="1:10" s="11" customFormat="1" ht="15.75" x14ac:dyDescent="0.25">
      <c r="A219" s="51">
        <f>IF(D219=0,"",1+MAX(A$9:A218))</f>
        <v>194</v>
      </c>
      <c r="B219" s="12"/>
      <c r="C219" s="9" t="s">
        <v>85</v>
      </c>
      <c r="D219" s="52">
        <v>2</v>
      </c>
      <c r="E219" s="10" t="s">
        <v>26</v>
      </c>
      <c r="F219" s="8">
        <v>300</v>
      </c>
      <c r="G219" s="8">
        <v>150</v>
      </c>
      <c r="H219" s="8">
        <f t="shared" si="8"/>
        <v>450</v>
      </c>
      <c r="I219" s="8">
        <f t="shared" si="9"/>
        <v>900</v>
      </c>
      <c r="J219" s="53"/>
    </row>
    <row r="220" spans="1:10" s="11" customFormat="1" ht="18" customHeight="1" x14ac:dyDescent="0.25">
      <c r="A220" s="51"/>
      <c r="B220" s="12"/>
      <c r="C220" s="56" t="s">
        <v>114</v>
      </c>
      <c r="D220" s="6"/>
      <c r="E220" s="6"/>
      <c r="F220" s="6"/>
      <c r="G220" s="6"/>
      <c r="H220" s="8" t="str">
        <f t="shared" ref="H220" si="10">IF(D220=0,"",0)</f>
        <v/>
      </c>
      <c r="I220" s="8" t="str">
        <f t="shared" ref="I220" si="11">IF(H220="","",D220*H220)</f>
        <v/>
      </c>
      <c r="J220" s="63">
        <f>(SUM(I19:I220))</f>
        <v>1460695.75</v>
      </c>
    </row>
    <row r="221" spans="1:10" s="11" customFormat="1" ht="18" customHeight="1" thickBot="1" x14ac:dyDescent="0.3">
      <c r="A221" s="89"/>
      <c r="B221" s="90"/>
      <c r="C221" s="90"/>
      <c r="D221" s="90"/>
      <c r="E221" s="90"/>
      <c r="F221" s="90"/>
      <c r="G221" s="90"/>
      <c r="H221" s="90"/>
      <c r="I221" s="90"/>
      <c r="J221" s="91"/>
    </row>
    <row r="222" spans="1:10" s="11" customFormat="1" ht="18" customHeight="1" x14ac:dyDescent="0.25">
      <c r="A222" s="98" t="s">
        <v>19</v>
      </c>
      <c r="B222" s="99"/>
      <c r="C222" s="65"/>
      <c r="D222" s="66"/>
      <c r="E222" s="66"/>
      <c r="F222" s="66"/>
      <c r="G222" s="66"/>
      <c r="H222" s="65"/>
      <c r="I222" s="65"/>
      <c r="J222" s="67">
        <f>SUM(J9:J221)</f>
        <v>1460695.75</v>
      </c>
    </row>
    <row r="223" spans="1:10" s="11" customFormat="1" ht="18" customHeight="1" x14ac:dyDescent="0.25">
      <c r="A223" s="96" t="s">
        <v>10</v>
      </c>
      <c r="B223" s="97"/>
      <c r="C223" s="68">
        <v>0.15</v>
      </c>
      <c r="D223" s="64"/>
      <c r="E223" s="64"/>
      <c r="F223" s="64"/>
      <c r="G223" s="64"/>
      <c r="H223" s="69"/>
      <c r="I223" s="69"/>
      <c r="J223" s="70">
        <f>(J222*C223)</f>
        <v>219104.36249999999</v>
      </c>
    </row>
    <row r="224" spans="1:10" s="11" customFormat="1" ht="18" customHeight="1" x14ac:dyDescent="0.25">
      <c r="A224" s="96" t="s">
        <v>11</v>
      </c>
      <c r="B224" s="97"/>
      <c r="C224" s="68">
        <v>0.03</v>
      </c>
      <c r="D224" s="71"/>
      <c r="E224" s="71"/>
      <c r="F224" s="71"/>
      <c r="G224" s="71"/>
      <c r="H224" s="72"/>
      <c r="I224" s="72"/>
      <c r="J224" s="70">
        <f>(J222*C224)</f>
        <v>43820.872499999998</v>
      </c>
    </row>
    <row r="225" spans="1:10" s="11" customFormat="1" ht="18" customHeight="1" x14ac:dyDescent="0.25">
      <c r="A225" s="96" t="s">
        <v>13</v>
      </c>
      <c r="B225" s="97"/>
      <c r="C225" s="68">
        <v>0.05</v>
      </c>
      <c r="D225" s="73"/>
      <c r="E225" s="73"/>
      <c r="F225" s="73"/>
      <c r="G225" s="73"/>
      <c r="H225" s="74"/>
      <c r="I225" s="74"/>
      <c r="J225" s="70">
        <f>(J222*C225)</f>
        <v>73034.787500000006</v>
      </c>
    </row>
    <row r="226" spans="1:10" ht="24" customHeight="1" thickBot="1" x14ac:dyDescent="0.3">
      <c r="A226" s="94" t="s">
        <v>12</v>
      </c>
      <c r="B226" s="95"/>
      <c r="C226" s="75"/>
      <c r="D226" s="76"/>
      <c r="E226" s="76"/>
      <c r="F226" s="76"/>
      <c r="G226" s="76"/>
      <c r="H226" s="75"/>
      <c r="I226" s="75"/>
      <c r="J226" s="77">
        <f>SUM(J222:J225)</f>
        <v>1796655.7725000002</v>
      </c>
    </row>
    <row r="227" spans="1:10" s="11" customFormat="1" ht="18" customHeight="1" thickBot="1" x14ac:dyDescent="0.3">
      <c r="A227" s="92" t="s">
        <v>16</v>
      </c>
      <c r="B227" s="93"/>
      <c r="C227" s="32"/>
      <c r="D227" s="33"/>
      <c r="E227" s="33"/>
      <c r="F227" s="33"/>
      <c r="G227" s="33"/>
      <c r="H227" s="32"/>
      <c r="I227" s="32"/>
      <c r="J227" s="34"/>
    </row>
    <row r="228" spans="1:10" s="11" customFormat="1" ht="18" customHeight="1" x14ac:dyDescent="0.25">
      <c r="A228" s="35"/>
      <c r="B228" s="14"/>
      <c r="C228" s="32"/>
      <c r="D228" s="33"/>
      <c r="E228" s="33"/>
      <c r="F228" s="33"/>
      <c r="G228" s="33"/>
      <c r="H228" s="32"/>
      <c r="I228" s="32"/>
      <c r="J228" s="34"/>
    </row>
    <row r="229" spans="1:10" s="11" customFormat="1" ht="18" customHeight="1" thickBot="1" x14ac:dyDescent="0.3">
      <c r="A229" s="36"/>
      <c r="B229" s="37"/>
      <c r="C229" s="38"/>
      <c r="D229" s="39"/>
      <c r="E229" s="39"/>
      <c r="F229" s="39"/>
      <c r="G229" s="39"/>
      <c r="H229" s="38"/>
      <c r="I229" s="38"/>
      <c r="J229" s="40"/>
    </row>
  </sheetData>
  <sortState ref="C84:E94">
    <sortCondition ref="C84"/>
  </sortState>
  <mergeCells count="8">
    <mergeCell ref="A17:J17"/>
    <mergeCell ref="A221:J221"/>
    <mergeCell ref="A227:B227"/>
    <mergeCell ref="A226:B226"/>
    <mergeCell ref="A225:B225"/>
    <mergeCell ref="A224:B224"/>
    <mergeCell ref="A222:B222"/>
    <mergeCell ref="A223:B223"/>
  </mergeCells>
  <printOptions horizontalCentered="1"/>
  <pageMargins left="0" right="0" top="0" bottom="0.17" header="0" footer="0"/>
  <pageSetup paperSize="9" scale="55" fitToHeight="0" orientation="portrait" r:id="rId1"/>
  <headerFooter scaleWithDoc="0" alignWithMargins="0"/>
  <rowBreaks count="1" manualBreakCount="1">
    <brk id="221" max="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30BFC7-B03F-4C27-9144-A234161B5B0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Breakdown</vt:lpstr>
      <vt:lpstr>Breakdown!Print_Area</vt:lpstr>
      <vt:lpstr>Breakdown!Print_Titles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WAZ</dc:creator>
  <cp:lastModifiedBy>Casa</cp:lastModifiedBy>
  <cp:lastPrinted>2018-02-13T09:57:28Z</cp:lastPrinted>
  <dcterms:created xsi:type="dcterms:W3CDTF">2016-03-30T11:57:46Z</dcterms:created>
  <dcterms:modified xsi:type="dcterms:W3CDTF">2022-11-16T20:20:45Z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S9Connected">
    <vt:bool>true</vt:bool>
  </property>
  <property fmtid="{D5CDD505-2E9C-101B-9397-08002B2CF9AE}" pid="3" name="PlanSwiftJobName">
    <vt:lpwstr/>
  </property>
  <property fmtid="{D5CDD505-2E9C-101B-9397-08002B2CF9AE}" pid="4" name="PlanSwiftJobGuid">
    <vt:lpwstr/>
  </property>
  <property fmtid="{D5CDD505-2E9C-101B-9397-08002B2CF9AE}" pid="5" name="LinkedDataId">
    <vt:lpwstr>{0330BFC7-B03F-4C27-9144-A234161B5B02}</vt:lpwstr>
  </property>
</Properties>
</file>